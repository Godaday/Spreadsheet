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Codes\WebExcel\Spreadsheet\ExcelTemplates\"/>
    </mc:Choice>
  </mc:AlternateContent>
  <bookViews>
    <workbookView xWindow="0" yWindow="0" windowWidth="29100" windowHeight="14565"/>
  </bookViews>
  <sheets>
    <sheet name="Sheet1" sheetId="33" r:id="rId1"/>
    <sheet name="原表" sheetId="3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32" l="1"/>
  <c r="I22" i="32"/>
  <c r="H22" i="32"/>
  <c r="G22" i="32"/>
  <c r="F22" i="32"/>
  <c r="E22" i="32"/>
  <c r="J21" i="32"/>
  <c r="I21" i="32"/>
  <c r="H21" i="32"/>
  <c r="G21" i="32"/>
  <c r="J19" i="32"/>
  <c r="I19" i="32"/>
  <c r="H19" i="32"/>
  <c r="G19" i="32"/>
  <c r="F19" i="32"/>
  <c r="E19" i="32"/>
  <c r="J18" i="32"/>
  <c r="I18" i="32"/>
  <c r="H18" i="32"/>
  <c r="G18" i="32"/>
  <c r="F18" i="32"/>
  <c r="E18" i="32"/>
  <c r="J17" i="32"/>
  <c r="I17" i="32"/>
  <c r="H17" i="32"/>
  <c r="G17" i="32"/>
  <c r="F17" i="32"/>
  <c r="E17" i="32"/>
  <c r="J16" i="32"/>
  <c r="I16" i="32"/>
  <c r="H16" i="32"/>
  <c r="G16" i="32"/>
  <c r="F16" i="32"/>
  <c r="E16" i="32"/>
  <c r="J15" i="32"/>
  <c r="I15" i="32"/>
  <c r="H15" i="32"/>
  <c r="G15" i="32"/>
  <c r="K14" i="32"/>
  <c r="J14" i="32"/>
  <c r="G14" i="32"/>
  <c r="K13" i="32"/>
  <c r="J13" i="32"/>
  <c r="G13" i="32"/>
  <c r="K12" i="32"/>
  <c r="J12" i="32"/>
  <c r="G12" i="32"/>
  <c r="K11" i="32"/>
  <c r="J11" i="32"/>
  <c r="G11" i="32"/>
  <c r="K10" i="32"/>
  <c r="J10" i="32"/>
  <c r="G10" i="32"/>
  <c r="K9" i="32"/>
  <c r="J9" i="32"/>
  <c r="G9" i="32"/>
  <c r="J8" i="32"/>
  <c r="I8" i="32"/>
  <c r="H8" i="32"/>
  <c r="G8" i="32"/>
  <c r="J4" i="32"/>
  <c r="I4" i="32"/>
  <c r="H4" i="32"/>
  <c r="G4" i="32"/>
</calcChain>
</file>

<file path=xl/comments1.xml><?xml version="1.0" encoding="utf-8"?>
<comments xmlns="http://schemas.openxmlformats.org/spreadsheetml/2006/main">
  <authors>
    <author>Administrator</author>
    <author>张佩佩</author>
  </authors>
  <commentList>
    <comment ref="B12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水分</t>
        </r>
      </text>
    </comment>
    <comment ref="B17" authorId="1" shapeId="0">
      <text>
        <r>
          <rPr>
            <b/>
            <sz val="9"/>
            <rFont val="宋体"/>
            <family val="3"/>
            <charset val="134"/>
          </rPr>
          <t>产量乘以0.45左右</t>
        </r>
      </text>
    </comment>
  </commentList>
</comments>
</file>

<file path=xl/comments2.xml><?xml version="1.0" encoding="utf-8"?>
<comments xmlns="http://schemas.openxmlformats.org/spreadsheetml/2006/main">
  <authors>
    <author>Administrator</author>
    <author>张佩佩</author>
  </authors>
  <commentList>
    <comment ref="B10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水分</t>
        </r>
      </text>
    </comment>
    <comment ref="B15" authorId="1" shapeId="0">
      <text>
        <r>
          <rPr>
            <b/>
            <sz val="9"/>
            <rFont val="宋体"/>
            <family val="3"/>
            <charset val="134"/>
          </rPr>
          <t>产量乘以0.45左右</t>
        </r>
      </text>
    </comment>
    <comment ref="B20" authorId="1" shapeId="0">
      <text>
        <r>
          <rPr>
            <b/>
            <sz val="9"/>
            <rFont val="宋体"/>
            <family val="3"/>
            <charset val="134"/>
          </rPr>
          <t>产量乘以0.6左右</t>
        </r>
      </text>
    </comment>
  </commentList>
</comments>
</file>

<file path=xl/sharedStrings.xml><?xml version="1.0" encoding="utf-8"?>
<sst xmlns="http://schemas.openxmlformats.org/spreadsheetml/2006/main" count="284" uniqueCount="177">
  <si>
    <t>界面数据保存两位，四舍五入</t>
  </si>
  <si>
    <t>饲料车间生产日报</t>
  </si>
  <si>
    <t>第35生产期</t>
  </si>
  <si>
    <t>第31天</t>
  </si>
  <si>
    <t>项    目</t>
  </si>
  <si>
    <t>单位</t>
  </si>
  <si>
    <t>甲班</t>
  </si>
  <si>
    <t>乙班</t>
  </si>
  <si>
    <t>丙班</t>
  </si>
  <si>
    <t>日计</t>
  </si>
  <si>
    <t>旬计</t>
  </si>
  <si>
    <t>月计</t>
  </si>
  <si>
    <t>新宁累计</t>
  </si>
  <si>
    <t>昭苏累计</t>
  </si>
  <si>
    <t>新宁+昭苏累计</t>
  </si>
  <si>
    <t>设
备
运
行</t>
  </si>
  <si>
    <t>有效作业时间</t>
  </si>
  <si>
    <t>时分</t>
  </si>
  <si>
    <t>人工填报</t>
  </si>
  <si>
    <t>甲班有效作业时间+乙班有效作业时间+丙班有效作业时间</t>
  </si>
  <si>
    <t>有效作业时间日计按当旬累计求和
（逢9算旬:例如每月10日-19日，20日-29日，30-9日）</t>
  </si>
  <si>
    <t>有效作业时间日计按当财务月累计求和
（财务月每月28，包含28，例如10.29-11.28）</t>
  </si>
  <si>
    <t>属于新宁工厂的有效作业时间日计从当期产季第一天开始累计求和</t>
  </si>
  <si>
    <t>属于昭苏工厂的有效作业时间日计从当期产季第一天开始累计求和</t>
  </si>
  <si>
    <t>有效作业时间日计从当期产季第一天开始累计求和</t>
  </si>
  <si>
    <t>计 划 停 机</t>
  </si>
  <si>
    <t>甲班计划停机+乙班计划停机+丙班计划停机</t>
  </si>
  <si>
    <t>计划停机日计按当旬累计求和</t>
  </si>
  <si>
    <t>计划停机日计按当财务月累计求和</t>
  </si>
  <si>
    <t>属于新宁工厂的计划停机日计从当期产季第一天开始累计求和</t>
  </si>
  <si>
    <t>属于昭苏工厂的计划停机日计从当期产季第一天开始累计求和</t>
  </si>
  <si>
    <t>计划停机日计从当期产季第一天开始累计求和</t>
  </si>
  <si>
    <t>客观原因停机</t>
  </si>
  <si>
    <t>甲班客观原因停机+乙班客观原因停机+丙班客观原因停机</t>
  </si>
  <si>
    <t>客观原因停机日计按当旬累计求和</t>
  </si>
  <si>
    <t>客观原因停机日计按当财务月累计求和</t>
  </si>
  <si>
    <t>属于新宁工厂的客观原因停机日计从当期产季第一天开始累计求和</t>
  </si>
  <si>
    <t>属于昭苏工厂的客观原因停机日计从当期产季第一天开始累计求和</t>
  </si>
  <si>
    <t>客观原因停机日计从当期产季第一天开始累计求和</t>
  </si>
  <si>
    <t>事 故 停 机</t>
  </si>
  <si>
    <t>甲班事故停机+乙班事故停机+丙班事故停机</t>
  </si>
  <si>
    <t>事故停机日计按当旬累计求和</t>
  </si>
  <si>
    <t>事故停机日计按当财务月累计求和</t>
  </si>
  <si>
    <t>属于新宁工厂的事故停机日计从当期产季第一天开始累计求和</t>
  </si>
  <si>
    <t>属于昭苏工厂的事故停机日计从当期产季第一天开始累计求和</t>
  </si>
  <si>
    <t>事故停机日计从当期产季第一天开始累计求和</t>
  </si>
  <si>
    <t>产
量</t>
  </si>
  <si>
    <t>普通颗粒粕</t>
  </si>
  <si>
    <t>吨</t>
  </si>
  <si>
    <t>甲班普通颗粒粕+乙班普通颗粒粕+丙班普通颗粒粕</t>
  </si>
  <si>
    <t>普通颗粒粕日计按当旬累计求和</t>
  </si>
  <si>
    <t>普通颗粒粕日计按当财务月累计求和</t>
  </si>
  <si>
    <t>属于新宁工厂的普通颗粒粕日计从当期产季第一天开始累计求和</t>
  </si>
  <si>
    <t>属于昭苏工厂的普通颗粒粕日计从当期产季第一天开始累计求和</t>
  </si>
  <si>
    <t>普通颗粒粕日计从当期产季第一天开始累计求和</t>
  </si>
  <si>
    <t>加蜜颗粒粕</t>
  </si>
  <si>
    <t>甲班加蜜颗粒粕+乙班加蜜颗粒粕+丙班机密颗粒粕</t>
  </si>
  <si>
    <t>加蜜颗粒粕日计按当旬累计求和</t>
  </si>
  <si>
    <t>加蜜颗粒粕日计按当财务月累计求和</t>
  </si>
  <si>
    <t>属于新宁工厂的加蜜颗粒粕日计从当期产季第一天开始累计求和</t>
  </si>
  <si>
    <t>属于昭苏工厂的加蜜颗粒粕日计从当期产季第一天开始累计求和</t>
  </si>
  <si>
    <t>加蜜颗粒粕日计从当期产季第一天开始累计求和</t>
  </si>
  <si>
    <t>质
量</t>
  </si>
  <si>
    <t>总糖份</t>
  </si>
  <si>
    <t>%</t>
  </si>
  <si>
    <t>各班组总糖份相加求和/班组数量</t>
  </si>
  <si>
    <t>/</t>
  </si>
  <si>
    <t>属于新宁工厂的总糖份日计从当期第一天开始累计求和/新宁工厂的累计的天数</t>
  </si>
  <si>
    <t>属于昭苏工厂的总糖份日计从当期第一天开始累计求和/昭苏工厂的累计的天数</t>
  </si>
  <si>
    <t>总糖份日计从当期第一天开始累计求和/累计的天数</t>
  </si>
  <si>
    <t>干燥失重</t>
  </si>
  <si>
    <t>各班组干燥失重相加求和/班组数量</t>
  </si>
  <si>
    <t>属于新宁工厂的干燥失重日计从当期第一天开始累计求和/新宁工厂的累计的天数</t>
  </si>
  <si>
    <t>属于昭苏工厂的干燥失重日计从当期第一天开始累计求和/昭苏工厂的累计的天数</t>
  </si>
  <si>
    <t>干燥失重日计从当期第一天开始累计求和/累计的天数</t>
  </si>
  <si>
    <t>灰分</t>
  </si>
  <si>
    <t>各班组灰分相加求和/班组数量</t>
  </si>
  <si>
    <t>属于新宁工厂的灰分日计从当期第一天开始累计求和/新宁工厂的累计的天数</t>
  </si>
  <si>
    <t>属于昭苏工厂的灰分日计从当期第一天开始累计求和/昭苏工厂的累计的天数</t>
  </si>
  <si>
    <t>灰分日计从当期第一天开始累计求和/累计的天数</t>
  </si>
  <si>
    <t>压粕水份</t>
  </si>
  <si>
    <t>各班组压粕水份相加求和/班组数量</t>
  </si>
  <si>
    <t>属于新宁工厂的压粕水份日计从当期第一天开始累计求和/新宁工厂的累计的天数</t>
  </si>
  <si>
    <t>属于昭苏工厂的压粕水份日计从当期第一天开始累计求和/昭苏工厂的累计的天数</t>
  </si>
  <si>
    <t>压粕水份日计从当期第一天开始累计求和/累计的天数</t>
  </si>
  <si>
    <t>浸水膨胀时间</t>
  </si>
  <si>
    <t>分钟</t>
  </si>
  <si>
    <t>各班组浸水膨胀时间相加求和/班组数量</t>
  </si>
  <si>
    <t>属于新宁工厂的浸水膨胀时间日计从当期第一天开始累计求和/新宁工厂的累计的天数</t>
  </si>
  <si>
    <t>属于昭苏工厂的浸水膨胀时间日计从当期第一天开始累计求和/昭苏工厂的累计的天数</t>
  </si>
  <si>
    <t>浸水膨胀时间日计从当期第一天开始累计求和/累计的天数</t>
  </si>
  <si>
    <t>直径</t>
  </si>
  <si>
    <t>mm</t>
  </si>
  <si>
    <t>固定值8.1</t>
  </si>
  <si>
    <t>各班组直径相加求和/班组数量</t>
  </si>
  <si>
    <t>属于新宁工厂的直径日计从当期第一天开始累计求和/新宁工厂的累计的天数</t>
  </si>
  <si>
    <t>属于昭苏工厂的直径日计从当期第一天开始累计求和/昭苏工厂的累计的天数</t>
  </si>
  <si>
    <t>直径日计从当期第一天开始累计求和/累计的天数</t>
  </si>
  <si>
    <t>消
耗</t>
  </si>
  <si>
    <t>总耗原煤</t>
  </si>
  <si>
    <t>甲班颗粒粕产量*0.45</t>
  </si>
  <si>
    <t>乙班颗粒粕产量*0.45</t>
  </si>
  <si>
    <t>丙班颗粒粕产量*0.45</t>
  </si>
  <si>
    <t>甲班总耗原煤+乙班总耗原煤</t>
  </si>
  <si>
    <t>总耗原煤日计按当旬累计求和</t>
  </si>
  <si>
    <t>总耗原煤日计按当财务月累计求和</t>
  </si>
  <si>
    <t>属于新宁工厂的总耗原煤日计从当期第一天开始累计求和</t>
  </si>
  <si>
    <t>属于昭苏工厂的总耗原煤日计从当期第一天开始累计求和</t>
  </si>
  <si>
    <t>总耗原煤日计从当期第一天开始累计求和</t>
  </si>
  <si>
    <t>吨粕耗煤</t>
  </si>
  <si>
    <t>甲班总耗原煤/甲班颗粒粕产量</t>
  </si>
  <si>
    <t>乙班总耗原煤/乙班颗粒粕产量</t>
  </si>
  <si>
    <t>丙班总耗原煤/丙班颗粒粕产量</t>
  </si>
  <si>
    <t>日计的总耗原煤/日计颗粒粕产量</t>
  </si>
  <si>
    <t>总耗原煤旬计/颗粒粕产量旬计</t>
  </si>
  <si>
    <t>总耗原煤月计/颗粒粕产量月计</t>
  </si>
  <si>
    <t>属于新宁工厂的 总耗原煤累计/新宁工厂的颗粒粕产量累计</t>
  </si>
  <si>
    <t>属于昭苏工厂的总耗原煤累计/昭苏工厂的颗粒粕产量累计</t>
  </si>
  <si>
    <t>总耗原煤的累计/颗粒粕产量累计</t>
  </si>
  <si>
    <t>标煤</t>
  </si>
  <si>
    <t>甲班总耗原煤*0.68</t>
  </si>
  <si>
    <t>乙班总耗原煤*0.68</t>
  </si>
  <si>
    <t>丙班总耗原煤*0.68</t>
  </si>
  <si>
    <t>日计总耗原煤*0.68</t>
  </si>
  <si>
    <t>旬计总耗原煤*0.68</t>
  </si>
  <si>
    <t>月计总耗原煤*0.68</t>
  </si>
  <si>
    <t>属于新宁工厂的累计总耗原煤*0.68</t>
  </si>
  <si>
    <t>属于昭苏工厂的累计总耗原煤*0.69</t>
  </si>
  <si>
    <t>累计总耗原煤*0.68</t>
  </si>
  <si>
    <t>细缝袋线</t>
  </si>
  <si>
    <t>公斤</t>
  </si>
  <si>
    <t>甲班颗粒粕产量*0.04</t>
  </si>
  <si>
    <t>乙班颗粒粕产量*0.04</t>
  </si>
  <si>
    <t>丙班颗粒粕产量*0.04</t>
  </si>
  <si>
    <t>日计颗粒粕产量*0.04</t>
  </si>
  <si>
    <t>旬计颗粒粕产量*0.04</t>
  </si>
  <si>
    <t>月计颗粒粕产量*0.04</t>
  </si>
  <si>
    <t>属于新宁工厂的累计颗粒粕产量*0.04</t>
  </si>
  <si>
    <t>属于昭苏工厂的累计颗粒粕产量*0.05</t>
  </si>
  <si>
    <t>累计颗粒粕产量*0.04</t>
  </si>
  <si>
    <t>编织袋</t>
  </si>
  <si>
    <t>条</t>
  </si>
  <si>
    <t>甲班颗粒粕产量*20</t>
  </si>
  <si>
    <t>乙班颗粒粕产量*20</t>
  </si>
  <si>
    <t>丙班颗粒粕产量*20</t>
  </si>
  <si>
    <t>日计颗粒粕产量*20</t>
  </si>
  <si>
    <t>旬计颗粒粕产量*20</t>
  </si>
  <si>
    <t>月计颗粒粕产量*20</t>
  </si>
  <si>
    <t>属于新宁工厂的累计颗粒粕产量*20</t>
  </si>
  <si>
    <t>属于昭苏工厂的累计颗粒粕产量*21</t>
  </si>
  <si>
    <t>累计颗粒粕产量*20</t>
  </si>
  <si>
    <t>总耗电</t>
  </si>
  <si>
    <t>度</t>
  </si>
  <si>
    <t>取动力车间报表中的配
电供电甲班颗粒粕用电</t>
  </si>
  <si>
    <t>取动力车间报表中的配
电供电乙班颗粒粕用电</t>
  </si>
  <si>
    <t>取动力车间报表中的配
电供电丙班颗粒粕用电</t>
  </si>
  <si>
    <t>甲班总耗电+乙班总耗电+丙班总耗电</t>
  </si>
  <si>
    <t>总耗电日计按当旬累计求和</t>
  </si>
  <si>
    <t>总耗电日计按当财务月累计求和</t>
  </si>
  <si>
    <t>属于新宁工厂的总耗电日计从当期第一天开始累计求和</t>
  </si>
  <si>
    <t>属于昭苏工厂的总耗电日计从当期第一天开始累计求和</t>
  </si>
  <si>
    <t>总耗电日计从当期第一天开始累计求和</t>
  </si>
  <si>
    <t>吨粕耗电</t>
  </si>
  <si>
    <t>甲班总耗电/甲班颗粒粕产量</t>
  </si>
  <si>
    <t>乙班总耗电/乙班颗粒粕产量</t>
  </si>
  <si>
    <t>丙班总耗电/丙班颗粒粕产量</t>
  </si>
  <si>
    <t>日计总耗电/日计颗粒粕产量</t>
  </si>
  <si>
    <t>旬计总耗电/旬计颗粒粕产量</t>
  </si>
  <si>
    <t>月计总耗电/月计颗粒粕产量</t>
  </si>
  <si>
    <t>属于新宁工厂的累计总耗电/新宁工厂累计颗粒粕产量</t>
  </si>
  <si>
    <t>属于昭苏工厂的累计总耗电/新宁工厂累计颗粒粕产量</t>
  </si>
  <si>
    <t>年计总耗电/年计颗粒粕产量</t>
  </si>
  <si>
    <t>备
注</t>
  </si>
  <si>
    <t>第30天</t>
  </si>
  <si>
    <t>累计</t>
  </si>
  <si>
    <t>颗粒粕</t>
  </si>
  <si>
    <t>生产用水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</si>
</sst>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8" formatCode="0.00_);[Red]\(0.00\)"/>
    <numFmt numFmtId="179" formatCode="0_);[Red]\(0\)"/>
    <numFmt numFmtId="180" formatCode="0.00_);\(0.00\)"/>
  </numFmts>
  <fonts count="1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8"/>
      <name val="方正小标宋简体"/>
      <charset val="134"/>
    </font>
    <font>
      <sz val="18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2"/>
      <color rgb="FFFF0000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vertical="center"/>
    </xf>
    <xf numFmtId="179" fontId="4" fillId="0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31" fontId="4" fillId="4" borderId="1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31" fontId="4" fillId="0" borderId="1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249555</xdr:colOff>
      <xdr:row>0</xdr:row>
      <xdr:rowOff>63500</xdr:rowOff>
    </xdr:from>
    <xdr:to>
      <xdr:col>3</xdr:col>
      <xdr:colOff>622935</xdr:colOff>
      <xdr:row>0</xdr:row>
      <xdr:rowOff>419100</xdr:rowOff>
    </xdr:to>
    <xdr:sp macro="" textlink="">
      <xdr:nvSpPr>
        <xdr:cNvPr id="2" name="圆角矩形 1"/>
        <xdr:cNvSpPr/>
      </xdr:nvSpPr>
      <xdr:spPr>
        <a:xfrm>
          <a:off x="571500" y="63500"/>
          <a:ext cx="1512570" cy="3556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solidFill>
                <a:sysClr val="windowText" lastClr="000000"/>
              </a:solidFill>
            </a:rPr>
            <a:t>2025-11-10</a:t>
          </a:r>
        </a:p>
      </xdr:txBody>
    </xdr:sp>
    <xdr:clientData/>
  </xdr:twoCellAnchor>
  <xdr:twoCellAnchor editAs="oneCell">
    <xdr:from>
      <xdr:col>3</xdr:col>
      <xdr:colOff>177800</xdr:colOff>
      <xdr:row>0</xdr:row>
      <xdr:rowOff>86360</xdr:rowOff>
    </xdr:from>
    <xdr:to>
      <xdr:col>3</xdr:col>
      <xdr:colOff>477520</xdr:colOff>
      <xdr:row>0</xdr:row>
      <xdr:rowOff>386080</xdr:rowOff>
    </xdr:to>
    <xdr:pic>
      <xdr:nvPicPr>
        <xdr:cNvPr id="3" name="图片 2" descr="日期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1638935" y="86360"/>
          <a:ext cx="299720" cy="299720"/>
        </a:xfrm>
        <a:prstGeom prst="rect">
          <a:avLst/>
        </a:prstGeom>
      </xdr:spPr>
    </xdr:pic>
    <xdr:clientData/>
  </xdr:twoCellAnchor>
  <xdr:twoCellAnchor>
    <xdr:from>
      <xdr:col>11</xdr:col>
      <xdr:colOff>1756410</xdr:colOff>
      <xdr:row>0</xdr:row>
      <xdr:rowOff>90170</xdr:rowOff>
    </xdr:from>
    <xdr:to>
      <xdr:col>12</xdr:col>
      <xdr:colOff>181610</xdr:colOff>
      <xdr:row>0</xdr:row>
      <xdr:rowOff>428625</xdr:rowOff>
    </xdr:to>
    <xdr:sp macro="" textlink="">
      <xdr:nvSpPr>
        <xdr:cNvPr id="4" name="圆角矩形 3"/>
        <xdr:cNvSpPr/>
      </xdr:nvSpPr>
      <xdr:spPr>
        <a:xfrm>
          <a:off x="18693130" y="90170"/>
          <a:ext cx="909320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提交</a:t>
          </a:r>
        </a:p>
      </xdr:txBody>
    </xdr:sp>
    <xdr:clientData/>
  </xdr:twoCellAnchor>
  <xdr:twoCellAnchor>
    <xdr:from>
      <xdr:col>12</xdr:col>
      <xdr:colOff>308610</xdr:colOff>
      <xdr:row>0</xdr:row>
      <xdr:rowOff>98425</xdr:rowOff>
    </xdr:from>
    <xdr:to>
      <xdr:col>12</xdr:col>
      <xdr:colOff>1183005</xdr:colOff>
      <xdr:row>0</xdr:row>
      <xdr:rowOff>436880</xdr:rowOff>
    </xdr:to>
    <xdr:sp macro="" textlink="">
      <xdr:nvSpPr>
        <xdr:cNvPr id="6" name="圆角矩形 5"/>
        <xdr:cNvSpPr/>
      </xdr:nvSpPr>
      <xdr:spPr>
        <a:xfrm>
          <a:off x="19729450" y="98425"/>
          <a:ext cx="874395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审核确认</a:t>
          </a:r>
        </a:p>
      </xdr:txBody>
    </xdr:sp>
    <xdr:clientData/>
  </xdr:twoCellAnchor>
  <xdr:twoCellAnchor>
    <xdr:from>
      <xdr:col>11</xdr:col>
      <xdr:colOff>828675</xdr:colOff>
      <xdr:row>0</xdr:row>
      <xdr:rowOff>104775</xdr:rowOff>
    </xdr:from>
    <xdr:to>
      <xdr:col>11</xdr:col>
      <xdr:colOff>1647190</xdr:colOff>
      <xdr:row>0</xdr:row>
      <xdr:rowOff>443230</xdr:rowOff>
    </xdr:to>
    <xdr:sp macro="" textlink="">
      <xdr:nvSpPr>
        <xdr:cNvPr id="7" name="圆角矩形 6"/>
        <xdr:cNvSpPr/>
      </xdr:nvSpPr>
      <xdr:spPr>
        <a:xfrm>
          <a:off x="17765395" y="104775"/>
          <a:ext cx="818515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编辑</a:t>
          </a:r>
        </a:p>
      </xdr:txBody>
    </xdr:sp>
    <xdr:clientData/>
  </xdr:twoCellAnchor>
  <xdr:twoCellAnchor>
    <xdr:from>
      <xdr:col>10</xdr:col>
      <xdr:colOff>2405380</xdr:colOff>
      <xdr:row>0</xdr:row>
      <xdr:rowOff>110490</xdr:rowOff>
    </xdr:from>
    <xdr:to>
      <xdr:col>11</xdr:col>
      <xdr:colOff>683895</xdr:colOff>
      <xdr:row>0</xdr:row>
      <xdr:rowOff>448945</xdr:rowOff>
    </xdr:to>
    <xdr:sp macro="" textlink="">
      <xdr:nvSpPr>
        <xdr:cNvPr id="8" name="圆角矩形 7"/>
        <xdr:cNvSpPr/>
      </xdr:nvSpPr>
      <xdr:spPr>
        <a:xfrm>
          <a:off x="16802100" y="110490"/>
          <a:ext cx="818515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导出</a:t>
          </a:r>
        </a:p>
      </xdr:txBody>
    </xdr:sp>
    <xdr:clientData/>
  </xdr:twoCellAnchor>
  <xdr:twoCellAnchor>
    <xdr:from>
      <xdr:col>3</xdr:col>
      <xdr:colOff>742950</xdr:colOff>
      <xdr:row>0</xdr:row>
      <xdr:rowOff>71755</xdr:rowOff>
    </xdr:from>
    <xdr:to>
      <xdr:col>4</xdr:col>
      <xdr:colOff>1492885</xdr:colOff>
      <xdr:row>0</xdr:row>
      <xdr:rowOff>427355</xdr:rowOff>
    </xdr:to>
    <xdr:grpSp>
      <xdr:nvGrpSpPr>
        <xdr:cNvPr id="9" name="组合 8"/>
        <xdr:cNvGrpSpPr/>
      </xdr:nvGrpSpPr>
      <xdr:grpSpPr>
        <a:xfrm>
          <a:off x="2424708" y="71755"/>
          <a:ext cx="1628021" cy="355600"/>
          <a:chOff x="2565" y="85"/>
          <a:chExt cx="2376" cy="560"/>
        </a:xfrm>
      </xdr:grpSpPr>
      <xdr:sp macro="" textlink="">
        <xdr:nvSpPr>
          <xdr:cNvPr id="10" name="圆角矩形 9"/>
          <xdr:cNvSpPr/>
        </xdr:nvSpPr>
        <xdr:spPr>
          <a:xfrm>
            <a:off x="2565" y="85"/>
            <a:ext cx="2376" cy="560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200" b="1">
                <a:solidFill>
                  <a:sysClr val="windowText" lastClr="000000"/>
                </a:solidFill>
              </a:rPr>
              <a:t>新宁糖业</a:t>
            </a:r>
          </a:p>
        </xdr:txBody>
      </xdr:sp>
      <xdr:sp macro="" textlink="">
        <xdr:nvSpPr>
          <xdr:cNvPr id="11" name="等腰三角形 10"/>
          <xdr:cNvSpPr/>
        </xdr:nvSpPr>
        <xdr:spPr>
          <a:xfrm rot="10800000" flipH="1">
            <a:off x="4328" y="208"/>
            <a:ext cx="416" cy="303"/>
          </a:xfrm>
          <a:prstGeom prst="triangle">
            <a:avLst/>
          </a:prstGeom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1"/>
  <dimension ref="A1:O28"/>
  <sheetViews>
    <sheetView tabSelected="1" zoomScale="64" zoomScaleNormal="64" workbookViewId="0">
      <pane ySplit="4" topLeftCell="A5" activePane="bottomLeft" state="frozen"/>
      <selection pane="bottomLeft" sqref="A1:M1"/>
    </sheetView>
  </sheetViews>
  <sheetFormatPr defaultColWidth="8.625" defaultRowHeight="14.25"/>
  <cols>
    <col min="1" max="1" width="4.875" style="1" customWidth="1"/>
    <col min="2" max="3" width="8.625" style="1"/>
    <col min="4" max="4" width="11.5" style="1" customWidth="1"/>
    <col min="5" max="7" width="29.75" style="1" customWidth="1"/>
    <col min="8" max="8" width="36.875" style="1" customWidth="1"/>
    <col min="9" max="9" width="30.625" style="1" customWidth="1"/>
    <col min="10" max="10" width="27.625" style="1" customWidth="1"/>
    <col min="11" max="11" width="38.5" style="1" customWidth="1"/>
    <col min="12" max="12" width="37.625" style="1" customWidth="1"/>
    <col min="13" max="13" width="36" style="1" customWidth="1"/>
    <col min="14" max="14" width="10.375" style="1"/>
    <col min="15" max="16384" width="8.625" style="1"/>
  </cols>
  <sheetData>
    <row r="1" spans="1:14" ht="42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4" ht="22.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4" ht="24" customHeight="1">
      <c r="A3" s="22" t="s">
        <v>2</v>
      </c>
      <c r="B3" s="22"/>
      <c r="C3" s="22"/>
      <c r="D3" s="22"/>
      <c r="E3" s="22" t="s">
        <v>3</v>
      </c>
      <c r="F3" s="22"/>
      <c r="G3" s="22"/>
      <c r="H3" s="22"/>
      <c r="I3" s="23">
        <v>45963</v>
      </c>
      <c r="J3" s="23"/>
      <c r="K3" s="23"/>
      <c r="L3" s="23"/>
      <c r="M3" s="23"/>
    </row>
    <row r="4" spans="1:14" ht="24" customHeight="1">
      <c r="A4" s="22" t="s">
        <v>4</v>
      </c>
      <c r="B4" s="22"/>
      <c r="C4" s="22"/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3" t="s">
        <v>12</v>
      </c>
      <c r="L4" s="13" t="s">
        <v>13</v>
      </c>
      <c r="M4" s="14" t="s">
        <v>14</v>
      </c>
    </row>
    <row r="5" spans="1:14" ht="66">
      <c r="A5" s="30" t="s">
        <v>15</v>
      </c>
      <c r="B5" s="24" t="s">
        <v>16</v>
      </c>
      <c r="C5" s="25"/>
      <c r="D5" s="12" t="s">
        <v>17</v>
      </c>
      <c r="E5" s="15" t="s">
        <v>18</v>
      </c>
      <c r="F5" s="15" t="s">
        <v>18</v>
      </c>
      <c r="G5" s="15" t="s">
        <v>18</v>
      </c>
      <c r="H5" s="7" t="s">
        <v>19</v>
      </c>
      <c r="I5" s="16" t="s">
        <v>20</v>
      </c>
      <c r="J5" s="16" t="s">
        <v>21</v>
      </c>
      <c r="K5" s="16" t="s">
        <v>22</v>
      </c>
      <c r="L5" s="16" t="s">
        <v>23</v>
      </c>
      <c r="M5" s="16" t="s">
        <v>24</v>
      </c>
    </row>
    <row r="6" spans="1:14" ht="42.95" customHeight="1">
      <c r="A6" s="31"/>
      <c r="B6" s="24" t="s">
        <v>25</v>
      </c>
      <c r="C6" s="25"/>
      <c r="D6" s="12" t="s">
        <v>17</v>
      </c>
      <c r="E6" s="15" t="s">
        <v>18</v>
      </c>
      <c r="F6" s="15" t="s">
        <v>18</v>
      </c>
      <c r="G6" s="15" t="s">
        <v>18</v>
      </c>
      <c r="H6" s="7" t="s">
        <v>26</v>
      </c>
      <c r="I6" s="16" t="s">
        <v>27</v>
      </c>
      <c r="J6" s="16" t="s">
        <v>28</v>
      </c>
      <c r="K6" s="16" t="s">
        <v>29</v>
      </c>
      <c r="L6" s="16" t="s">
        <v>30</v>
      </c>
      <c r="M6" s="16" t="s">
        <v>31</v>
      </c>
    </row>
    <row r="7" spans="1:14" ht="42.95" customHeight="1">
      <c r="A7" s="31"/>
      <c r="B7" s="24" t="s">
        <v>32</v>
      </c>
      <c r="C7" s="25"/>
      <c r="D7" s="12" t="s">
        <v>17</v>
      </c>
      <c r="E7" s="15" t="s">
        <v>18</v>
      </c>
      <c r="F7" s="15" t="s">
        <v>18</v>
      </c>
      <c r="G7" s="15" t="s">
        <v>18</v>
      </c>
      <c r="H7" s="7" t="s">
        <v>33</v>
      </c>
      <c r="I7" s="16" t="s">
        <v>34</v>
      </c>
      <c r="J7" s="16" t="s">
        <v>35</v>
      </c>
      <c r="K7" s="16" t="s">
        <v>36</v>
      </c>
      <c r="L7" s="16" t="s">
        <v>37</v>
      </c>
      <c r="M7" s="16" t="s">
        <v>38</v>
      </c>
    </row>
    <row r="8" spans="1:14" ht="36" customHeight="1">
      <c r="A8" s="32"/>
      <c r="B8" s="24" t="s">
        <v>39</v>
      </c>
      <c r="C8" s="25"/>
      <c r="D8" s="12" t="s">
        <v>17</v>
      </c>
      <c r="E8" s="15" t="s">
        <v>18</v>
      </c>
      <c r="F8" s="15" t="s">
        <v>18</v>
      </c>
      <c r="G8" s="15" t="s">
        <v>18</v>
      </c>
      <c r="H8" s="7" t="s">
        <v>40</v>
      </c>
      <c r="I8" s="16" t="s">
        <v>41</v>
      </c>
      <c r="J8" s="16" t="s">
        <v>42</v>
      </c>
      <c r="K8" s="16" t="s">
        <v>43</v>
      </c>
      <c r="L8" s="16" t="s">
        <v>44</v>
      </c>
      <c r="M8" s="16" t="s">
        <v>45</v>
      </c>
    </row>
    <row r="9" spans="1:14" ht="36.950000000000003" customHeight="1">
      <c r="A9" s="30" t="s">
        <v>46</v>
      </c>
      <c r="B9" s="26" t="s">
        <v>47</v>
      </c>
      <c r="C9" s="27"/>
      <c r="D9" s="12" t="s">
        <v>48</v>
      </c>
      <c r="E9" s="15" t="s">
        <v>18</v>
      </c>
      <c r="F9" s="15" t="s">
        <v>18</v>
      </c>
      <c r="G9" s="15" t="s">
        <v>18</v>
      </c>
      <c r="H9" s="7" t="s">
        <v>49</v>
      </c>
      <c r="I9" s="16" t="s">
        <v>50</v>
      </c>
      <c r="J9" s="16" t="s">
        <v>51</v>
      </c>
      <c r="K9" s="16" t="s">
        <v>52</v>
      </c>
      <c r="L9" s="16" t="s">
        <v>53</v>
      </c>
      <c r="M9" s="16" t="s">
        <v>54</v>
      </c>
    </row>
    <row r="10" spans="1:14" ht="33">
      <c r="A10" s="31"/>
      <c r="B10" s="28" t="s">
        <v>55</v>
      </c>
      <c r="C10" s="29"/>
      <c r="D10" s="12" t="s">
        <v>48</v>
      </c>
      <c r="E10" s="15" t="s">
        <v>18</v>
      </c>
      <c r="F10" s="15" t="s">
        <v>18</v>
      </c>
      <c r="G10" s="15" t="s">
        <v>18</v>
      </c>
      <c r="H10" s="7" t="s">
        <v>56</v>
      </c>
      <c r="I10" s="16" t="s">
        <v>57</v>
      </c>
      <c r="J10" s="16" t="s">
        <v>58</v>
      </c>
      <c r="K10" s="16" t="s">
        <v>59</v>
      </c>
      <c r="L10" s="16" t="s">
        <v>60</v>
      </c>
      <c r="M10" s="16" t="s">
        <v>61</v>
      </c>
      <c r="N10" s="9"/>
    </row>
    <row r="11" spans="1:14" ht="33">
      <c r="A11" s="33" t="s">
        <v>62</v>
      </c>
      <c r="B11" s="24" t="s">
        <v>63</v>
      </c>
      <c r="C11" s="25"/>
      <c r="D11" s="12" t="s">
        <v>64</v>
      </c>
      <c r="E11" s="15" t="s">
        <v>18</v>
      </c>
      <c r="F11" s="15" t="s">
        <v>18</v>
      </c>
      <c r="G11" s="15" t="s">
        <v>18</v>
      </c>
      <c r="H11" s="8" t="s">
        <v>65</v>
      </c>
      <c r="I11" s="5" t="s">
        <v>66</v>
      </c>
      <c r="J11" s="5" t="s">
        <v>66</v>
      </c>
      <c r="K11" s="17" t="s">
        <v>67</v>
      </c>
      <c r="L11" s="17" t="s">
        <v>68</v>
      </c>
      <c r="M11" s="17" t="s">
        <v>69</v>
      </c>
      <c r="N11" s="9"/>
    </row>
    <row r="12" spans="1:14" ht="33">
      <c r="A12" s="33"/>
      <c r="B12" s="24" t="s">
        <v>70</v>
      </c>
      <c r="C12" s="25"/>
      <c r="D12" s="12" t="s">
        <v>64</v>
      </c>
      <c r="E12" s="15" t="s">
        <v>18</v>
      </c>
      <c r="F12" s="15" t="s">
        <v>18</v>
      </c>
      <c r="G12" s="15" t="s">
        <v>18</v>
      </c>
      <c r="H12" s="8" t="s">
        <v>71</v>
      </c>
      <c r="I12" s="5" t="s">
        <v>66</v>
      </c>
      <c r="J12" s="5" t="s">
        <v>66</v>
      </c>
      <c r="K12" s="17" t="s">
        <v>72</v>
      </c>
      <c r="L12" s="17" t="s">
        <v>73</v>
      </c>
      <c r="M12" s="17" t="s">
        <v>74</v>
      </c>
      <c r="N12" s="9"/>
    </row>
    <row r="13" spans="1:14" ht="33">
      <c r="A13" s="33"/>
      <c r="B13" s="24" t="s">
        <v>75</v>
      </c>
      <c r="C13" s="25"/>
      <c r="D13" s="12" t="s">
        <v>64</v>
      </c>
      <c r="E13" s="15" t="s">
        <v>18</v>
      </c>
      <c r="F13" s="15" t="s">
        <v>18</v>
      </c>
      <c r="G13" s="15" t="s">
        <v>18</v>
      </c>
      <c r="H13" s="8" t="s">
        <v>76</v>
      </c>
      <c r="I13" s="5" t="s">
        <v>66</v>
      </c>
      <c r="J13" s="5" t="s">
        <v>66</v>
      </c>
      <c r="K13" s="17" t="s">
        <v>77</v>
      </c>
      <c r="L13" s="17" t="s">
        <v>78</v>
      </c>
      <c r="M13" s="17" t="s">
        <v>79</v>
      </c>
      <c r="N13" s="9"/>
    </row>
    <row r="14" spans="1:14" ht="33">
      <c r="A14" s="33"/>
      <c r="B14" s="24" t="s">
        <v>80</v>
      </c>
      <c r="C14" s="25"/>
      <c r="D14" s="12" t="s">
        <v>64</v>
      </c>
      <c r="E14" s="15" t="s">
        <v>18</v>
      </c>
      <c r="F14" s="15" t="s">
        <v>18</v>
      </c>
      <c r="G14" s="15" t="s">
        <v>18</v>
      </c>
      <c r="H14" s="8" t="s">
        <v>81</v>
      </c>
      <c r="I14" s="5" t="s">
        <v>66</v>
      </c>
      <c r="J14" s="5" t="s">
        <v>66</v>
      </c>
      <c r="K14" s="17" t="s">
        <v>82</v>
      </c>
      <c r="L14" s="17" t="s">
        <v>83</v>
      </c>
      <c r="M14" s="17" t="s">
        <v>84</v>
      </c>
      <c r="N14" s="9"/>
    </row>
    <row r="15" spans="1:14" ht="33">
      <c r="A15" s="33"/>
      <c r="B15" s="24" t="s">
        <v>85</v>
      </c>
      <c r="C15" s="25"/>
      <c r="D15" s="12" t="s">
        <v>86</v>
      </c>
      <c r="E15" s="15" t="s">
        <v>18</v>
      </c>
      <c r="F15" s="15" t="s">
        <v>18</v>
      </c>
      <c r="G15" s="15" t="s">
        <v>18</v>
      </c>
      <c r="H15" s="8" t="s">
        <v>87</v>
      </c>
      <c r="I15" s="5" t="s">
        <v>66</v>
      </c>
      <c r="J15" s="5" t="s">
        <v>66</v>
      </c>
      <c r="K15" s="17" t="s">
        <v>88</v>
      </c>
      <c r="L15" s="17" t="s">
        <v>89</v>
      </c>
      <c r="M15" s="17" t="s">
        <v>90</v>
      </c>
      <c r="N15" s="9"/>
    </row>
    <row r="16" spans="1:14" ht="33">
      <c r="A16" s="33"/>
      <c r="B16" s="24" t="s">
        <v>91</v>
      </c>
      <c r="C16" s="25"/>
      <c r="D16" s="12" t="s">
        <v>92</v>
      </c>
      <c r="E16" s="15" t="s">
        <v>93</v>
      </c>
      <c r="F16" s="15" t="s">
        <v>93</v>
      </c>
      <c r="G16" s="15" t="s">
        <v>93</v>
      </c>
      <c r="H16" s="8" t="s">
        <v>94</v>
      </c>
      <c r="I16" s="5" t="s">
        <v>66</v>
      </c>
      <c r="J16" s="5" t="s">
        <v>66</v>
      </c>
      <c r="K16" s="17" t="s">
        <v>95</v>
      </c>
      <c r="L16" s="17" t="s">
        <v>96</v>
      </c>
      <c r="M16" s="17" t="s">
        <v>97</v>
      </c>
      <c r="N16" s="9"/>
    </row>
    <row r="17" spans="1:15" ht="33">
      <c r="A17" s="33" t="s">
        <v>98</v>
      </c>
      <c r="B17" s="24" t="s">
        <v>99</v>
      </c>
      <c r="C17" s="25"/>
      <c r="D17" s="12" t="s">
        <v>48</v>
      </c>
      <c r="E17" s="2" t="s">
        <v>100</v>
      </c>
      <c r="F17" s="2" t="s">
        <v>101</v>
      </c>
      <c r="G17" s="2" t="s">
        <v>102</v>
      </c>
      <c r="H17" s="2" t="s">
        <v>103</v>
      </c>
      <c r="I17" s="5" t="s">
        <v>104</v>
      </c>
      <c r="J17" s="16" t="s">
        <v>105</v>
      </c>
      <c r="K17" s="16" t="s">
        <v>106</v>
      </c>
      <c r="L17" s="16" t="s">
        <v>107</v>
      </c>
      <c r="M17" s="16" t="s">
        <v>108</v>
      </c>
      <c r="N17" s="9"/>
      <c r="O17" s="18"/>
    </row>
    <row r="18" spans="1:15" ht="33">
      <c r="A18" s="33"/>
      <c r="B18" s="24" t="s">
        <v>109</v>
      </c>
      <c r="C18" s="25"/>
      <c r="D18" s="12" t="s">
        <v>48</v>
      </c>
      <c r="E18" s="8" t="s">
        <v>110</v>
      </c>
      <c r="F18" s="8" t="s">
        <v>111</v>
      </c>
      <c r="G18" s="8" t="s">
        <v>112</v>
      </c>
      <c r="H18" s="8" t="s">
        <v>113</v>
      </c>
      <c r="I18" s="8" t="s">
        <v>114</v>
      </c>
      <c r="J18" s="8" t="s">
        <v>115</v>
      </c>
      <c r="K18" s="17" t="s">
        <v>116</v>
      </c>
      <c r="L18" s="17" t="s">
        <v>117</v>
      </c>
      <c r="M18" s="17" t="s">
        <v>118</v>
      </c>
      <c r="N18" s="9"/>
      <c r="O18" s="18"/>
    </row>
    <row r="19" spans="1:15" ht="24" customHeight="1">
      <c r="A19" s="33"/>
      <c r="B19" s="24" t="s">
        <v>119</v>
      </c>
      <c r="C19" s="25"/>
      <c r="D19" s="12" t="s">
        <v>48</v>
      </c>
      <c r="E19" s="8" t="s">
        <v>120</v>
      </c>
      <c r="F19" s="8" t="s">
        <v>121</v>
      </c>
      <c r="G19" s="8" t="s">
        <v>122</v>
      </c>
      <c r="H19" s="8" t="s">
        <v>123</v>
      </c>
      <c r="I19" s="8" t="s">
        <v>124</v>
      </c>
      <c r="J19" s="8" t="s">
        <v>125</v>
      </c>
      <c r="K19" s="8" t="s">
        <v>126</v>
      </c>
      <c r="L19" s="8" t="s">
        <v>127</v>
      </c>
      <c r="M19" s="8" t="s">
        <v>128</v>
      </c>
      <c r="N19" s="9"/>
      <c r="O19" s="18"/>
    </row>
    <row r="20" spans="1:15" ht="24" customHeight="1">
      <c r="A20" s="33"/>
      <c r="B20" s="24" t="s">
        <v>129</v>
      </c>
      <c r="C20" s="25"/>
      <c r="D20" s="12" t="s">
        <v>130</v>
      </c>
      <c r="E20" s="8" t="s">
        <v>131</v>
      </c>
      <c r="F20" s="8" t="s">
        <v>132</v>
      </c>
      <c r="G20" s="8" t="s">
        <v>133</v>
      </c>
      <c r="H20" s="8" t="s">
        <v>134</v>
      </c>
      <c r="I20" s="8" t="s">
        <v>135</v>
      </c>
      <c r="J20" s="8" t="s">
        <v>136</v>
      </c>
      <c r="K20" s="8" t="s">
        <v>137</v>
      </c>
      <c r="L20" s="8" t="s">
        <v>138</v>
      </c>
      <c r="M20" s="8" t="s">
        <v>139</v>
      </c>
      <c r="N20" s="9"/>
      <c r="O20" s="18"/>
    </row>
    <row r="21" spans="1:15" ht="24" customHeight="1">
      <c r="A21" s="33"/>
      <c r="B21" s="24" t="s">
        <v>140</v>
      </c>
      <c r="C21" s="25"/>
      <c r="D21" s="12" t="s">
        <v>141</v>
      </c>
      <c r="E21" s="10" t="s">
        <v>142</v>
      </c>
      <c r="F21" s="10" t="s">
        <v>143</v>
      </c>
      <c r="G21" s="10" t="s">
        <v>144</v>
      </c>
      <c r="H21" s="10" t="s">
        <v>145</v>
      </c>
      <c r="I21" s="10" t="s">
        <v>146</v>
      </c>
      <c r="J21" s="10" t="s">
        <v>147</v>
      </c>
      <c r="K21" s="10" t="s">
        <v>148</v>
      </c>
      <c r="L21" s="10" t="s">
        <v>149</v>
      </c>
      <c r="M21" s="10" t="s">
        <v>150</v>
      </c>
      <c r="N21" s="9"/>
      <c r="O21" s="18"/>
    </row>
    <row r="22" spans="1:15" ht="33">
      <c r="A22" s="33"/>
      <c r="B22" s="24" t="s">
        <v>151</v>
      </c>
      <c r="C22" s="25"/>
      <c r="D22" s="12" t="s">
        <v>152</v>
      </c>
      <c r="E22" s="7" t="s">
        <v>153</v>
      </c>
      <c r="F22" s="7" t="s">
        <v>154</v>
      </c>
      <c r="G22" s="7" t="s">
        <v>155</v>
      </c>
      <c r="H22" s="10" t="s">
        <v>156</v>
      </c>
      <c r="I22" s="5" t="s">
        <v>157</v>
      </c>
      <c r="J22" s="16" t="s">
        <v>158</v>
      </c>
      <c r="K22" s="16" t="s">
        <v>159</v>
      </c>
      <c r="L22" s="16" t="s">
        <v>160</v>
      </c>
      <c r="M22" s="16" t="s">
        <v>161</v>
      </c>
    </row>
    <row r="23" spans="1:15" ht="33">
      <c r="A23" s="33"/>
      <c r="B23" s="24" t="s">
        <v>162</v>
      </c>
      <c r="C23" s="25"/>
      <c r="D23" s="12" t="s">
        <v>152</v>
      </c>
      <c r="E23" s="8" t="s">
        <v>163</v>
      </c>
      <c r="F23" s="8" t="s">
        <v>164</v>
      </c>
      <c r="G23" s="8" t="s">
        <v>165</v>
      </c>
      <c r="H23" s="8" t="s">
        <v>166</v>
      </c>
      <c r="I23" s="8" t="s">
        <v>167</v>
      </c>
      <c r="J23" s="8" t="s">
        <v>168</v>
      </c>
      <c r="K23" s="17" t="s">
        <v>169</v>
      </c>
      <c r="L23" s="17" t="s">
        <v>170</v>
      </c>
      <c r="M23" s="8" t="s">
        <v>171</v>
      </c>
    </row>
    <row r="24" spans="1:15">
      <c r="A24" s="30" t="s">
        <v>172</v>
      </c>
      <c r="B24" s="34" t="s">
        <v>18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6"/>
    </row>
    <row r="25" spans="1:15">
      <c r="A25" s="31"/>
      <c r="B25" s="37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9"/>
    </row>
    <row r="26" spans="1:15">
      <c r="A26" s="31"/>
      <c r="B26" s="37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9"/>
    </row>
    <row r="27" spans="1:15">
      <c r="A27" s="31"/>
      <c r="B27" s="37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9"/>
    </row>
    <row r="28" spans="1:15">
      <c r="A28" s="32"/>
      <c r="B28" s="40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2"/>
    </row>
  </sheetData>
  <mergeCells count="31">
    <mergeCell ref="A9:A10"/>
    <mergeCell ref="A11:A16"/>
    <mergeCell ref="A17:A23"/>
    <mergeCell ref="A24:A28"/>
    <mergeCell ref="B24:M28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A4:C4"/>
    <mergeCell ref="B5:C5"/>
    <mergeCell ref="B6:C6"/>
    <mergeCell ref="B7:C7"/>
    <mergeCell ref="B8:C8"/>
    <mergeCell ref="A5:A8"/>
    <mergeCell ref="A1:M1"/>
    <mergeCell ref="A2:M2"/>
    <mergeCell ref="A3:D3"/>
    <mergeCell ref="E3:H3"/>
    <mergeCell ref="I3:M3"/>
  </mergeCells>
  <phoneticPr fontId="10" type="noConversion"/>
  <pageMargins left="0.7" right="0.7" top="0.75" bottom="0.75" header="0.3" footer="0.3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/>
  <dimension ref="A1:L27"/>
  <sheetViews>
    <sheetView workbookViewId="0">
      <selection activeCell="Q18" sqref="Q18"/>
    </sheetView>
  </sheetViews>
  <sheetFormatPr defaultColWidth="8.625" defaultRowHeight="14.25"/>
  <cols>
    <col min="1" max="1" width="4.875" style="1" customWidth="1"/>
    <col min="2" max="7" width="8.625" style="1"/>
    <col min="8" max="8" width="9.5" style="1" customWidth="1"/>
    <col min="9" max="9" width="9.5" style="1"/>
    <col min="10" max="11" width="10.375" style="1"/>
    <col min="12" max="16384" width="8.625" style="1"/>
  </cols>
  <sheetData>
    <row r="1" spans="1:12" ht="22.5">
      <c r="A1" s="20" t="s">
        <v>1</v>
      </c>
      <c r="B1" s="21"/>
      <c r="C1" s="21"/>
      <c r="D1" s="21"/>
      <c r="E1" s="21"/>
      <c r="F1" s="21"/>
      <c r="G1" s="21"/>
      <c r="H1" s="21"/>
      <c r="I1" s="21"/>
      <c r="J1" s="21"/>
    </row>
    <row r="2" spans="1:12" ht="24" customHeight="1">
      <c r="A2" s="43" t="s">
        <v>2</v>
      </c>
      <c r="B2" s="43"/>
      <c r="C2" s="43"/>
      <c r="D2" s="43"/>
      <c r="E2" s="43" t="s">
        <v>173</v>
      </c>
      <c r="F2" s="43"/>
      <c r="G2" s="43"/>
      <c r="H2" s="44">
        <v>45962</v>
      </c>
      <c r="I2" s="44"/>
      <c r="J2" s="44"/>
    </row>
    <row r="3" spans="1:12" ht="24" customHeight="1">
      <c r="A3" s="43" t="s">
        <v>4</v>
      </c>
      <c r="B3" s="43"/>
      <c r="C3" s="43"/>
      <c r="D3" s="2" t="s">
        <v>5</v>
      </c>
      <c r="E3" s="2" t="s">
        <v>6</v>
      </c>
      <c r="F3" s="2" t="s">
        <v>7</v>
      </c>
      <c r="G3" s="2" t="s">
        <v>9</v>
      </c>
      <c r="H3" s="2" t="s">
        <v>10</v>
      </c>
      <c r="I3" s="2" t="s">
        <v>11</v>
      </c>
      <c r="J3" s="2" t="s">
        <v>174</v>
      </c>
    </row>
    <row r="4" spans="1:12" ht="24" customHeight="1">
      <c r="A4" s="51" t="s">
        <v>15</v>
      </c>
      <c r="B4" s="45" t="s">
        <v>16</v>
      </c>
      <c r="C4" s="46"/>
      <c r="D4" s="2" t="s">
        <v>17</v>
      </c>
      <c r="E4" s="4">
        <v>12</v>
      </c>
      <c r="F4" s="4">
        <v>12</v>
      </c>
      <c r="G4" s="2">
        <f>E4+F4</f>
        <v>24</v>
      </c>
      <c r="H4" s="5" t="e">
        <f>G4+#REF!</f>
        <v>#REF!</v>
      </c>
      <c r="I4" s="5" t="e">
        <f>G4+#REF!</f>
        <v>#REF!</v>
      </c>
      <c r="J4" s="5" t="e">
        <f>G4+#REF!</f>
        <v>#REF!</v>
      </c>
    </row>
    <row r="5" spans="1:12" ht="24" customHeight="1">
      <c r="A5" s="52"/>
      <c r="B5" s="45" t="s">
        <v>25</v>
      </c>
      <c r="C5" s="46"/>
      <c r="D5" s="2" t="s">
        <v>17</v>
      </c>
      <c r="E5" s="2"/>
      <c r="F5" s="2"/>
      <c r="G5" s="2"/>
      <c r="H5" s="5"/>
      <c r="I5" s="5"/>
      <c r="J5" s="5"/>
    </row>
    <row r="6" spans="1:12" ht="24" customHeight="1">
      <c r="A6" s="52"/>
      <c r="B6" s="45" t="s">
        <v>32</v>
      </c>
      <c r="C6" s="46"/>
      <c r="D6" s="2" t="s">
        <v>17</v>
      </c>
      <c r="E6" s="2"/>
      <c r="F6" s="2"/>
      <c r="G6" s="2"/>
      <c r="H6" s="5"/>
      <c r="I6" s="5"/>
      <c r="J6" s="5"/>
    </row>
    <row r="7" spans="1:12" ht="24" customHeight="1">
      <c r="A7" s="53"/>
      <c r="B7" s="45" t="s">
        <v>39</v>
      </c>
      <c r="C7" s="46"/>
      <c r="D7" s="2" t="s">
        <v>17</v>
      </c>
      <c r="E7" s="2"/>
      <c r="F7" s="2"/>
      <c r="G7" s="2"/>
      <c r="H7" s="5"/>
      <c r="I7" s="5"/>
      <c r="J7" s="5"/>
    </row>
    <row r="8" spans="1:12" ht="36.950000000000003" customHeight="1">
      <c r="A8" s="3" t="s">
        <v>46</v>
      </c>
      <c r="B8" s="47" t="s">
        <v>175</v>
      </c>
      <c r="C8" s="48"/>
      <c r="D8" s="2" t="s">
        <v>48</v>
      </c>
      <c r="E8" s="6">
        <v>73.349999999999994</v>
      </c>
      <c r="F8" s="6">
        <v>67</v>
      </c>
      <c r="G8" s="2">
        <f>E8+F8</f>
        <v>140.35</v>
      </c>
      <c r="H8" s="5" t="e">
        <f>G8+#REF!</f>
        <v>#REF!</v>
      </c>
      <c r="I8" s="5" t="e">
        <f>G8+#REF!</f>
        <v>#REF!</v>
      </c>
      <c r="J8" s="5" t="e">
        <f>G8+#REF!</f>
        <v>#REF!</v>
      </c>
    </row>
    <row r="9" spans="1:12" ht="24" customHeight="1">
      <c r="A9" s="54" t="s">
        <v>62</v>
      </c>
      <c r="B9" s="45" t="s">
        <v>63</v>
      </c>
      <c r="C9" s="46"/>
      <c r="D9" s="2" t="s">
        <v>64</v>
      </c>
      <c r="E9" s="6">
        <v>6.65</v>
      </c>
      <c r="F9" s="6">
        <v>6.56</v>
      </c>
      <c r="G9" s="8">
        <f t="shared" ref="G9:G14" si="0">(E9+F9)/2</f>
        <v>6.6050000000000004</v>
      </c>
      <c r="H9" s="5"/>
      <c r="I9" s="5"/>
      <c r="J9" s="8" t="e">
        <f t="shared" ref="J9:J14" si="1">K9/L9</f>
        <v>#REF!</v>
      </c>
      <c r="K9" s="9" t="e">
        <f>G9+#REF!</f>
        <v>#REF!</v>
      </c>
      <c r="L9" s="1">
        <v>29</v>
      </c>
    </row>
    <row r="10" spans="1:12" ht="24" customHeight="1">
      <c r="A10" s="54"/>
      <c r="B10" s="45" t="s">
        <v>70</v>
      </c>
      <c r="C10" s="46"/>
      <c r="D10" s="2" t="s">
        <v>64</v>
      </c>
      <c r="E10" s="6">
        <v>11.65</v>
      </c>
      <c r="F10" s="6">
        <v>11.93</v>
      </c>
      <c r="G10" s="8">
        <f t="shared" si="0"/>
        <v>11.79</v>
      </c>
      <c r="H10" s="5"/>
      <c r="I10" s="5"/>
      <c r="J10" s="8" t="e">
        <f t="shared" si="1"/>
        <v>#REF!</v>
      </c>
      <c r="K10" s="9" t="e">
        <f>G10+#REF!</f>
        <v>#REF!</v>
      </c>
      <c r="L10" s="1">
        <v>29</v>
      </c>
    </row>
    <row r="11" spans="1:12" ht="24" customHeight="1">
      <c r="A11" s="54"/>
      <c r="B11" s="45" t="s">
        <v>75</v>
      </c>
      <c r="C11" s="46"/>
      <c r="D11" s="2" t="s">
        <v>64</v>
      </c>
      <c r="E11" s="6">
        <v>5.7</v>
      </c>
      <c r="F11" s="6">
        <v>5.6</v>
      </c>
      <c r="G11" s="8">
        <f t="shared" si="0"/>
        <v>5.65</v>
      </c>
      <c r="H11" s="5"/>
      <c r="I11" s="5"/>
      <c r="J11" s="8" t="e">
        <f t="shared" si="1"/>
        <v>#REF!</v>
      </c>
      <c r="K11" s="9" t="e">
        <f>G11+#REF!</f>
        <v>#REF!</v>
      </c>
      <c r="L11" s="1">
        <v>29</v>
      </c>
    </row>
    <row r="12" spans="1:12" ht="24" customHeight="1">
      <c r="A12" s="54"/>
      <c r="B12" s="45" t="s">
        <v>80</v>
      </c>
      <c r="C12" s="46"/>
      <c r="D12" s="2" t="s">
        <v>64</v>
      </c>
      <c r="E12" s="6">
        <v>71.650000000000006</v>
      </c>
      <c r="F12" s="6">
        <v>72.7</v>
      </c>
      <c r="G12" s="8">
        <f t="shared" si="0"/>
        <v>72.174999999999997</v>
      </c>
      <c r="H12" s="5"/>
      <c r="I12" s="5"/>
      <c r="J12" s="8" t="e">
        <f t="shared" si="1"/>
        <v>#REF!</v>
      </c>
      <c r="K12" s="9" t="e">
        <f>G12+#REF!</f>
        <v>#REF!</v>
      </c>
      <c r="L12" s="1">
        <v>29</v>
      </c>
    </row>
    <row r="13" spans="1:12" ht="24" customHeight="1">
      <c r="A13" s="54"/>
      <c r="B13" s="45" t="s">
        <v>85</v>
      </c>
      <c r="C13" s="46"/>
      <c r="D13" s="2" t="s">
        <v>86</v>
      </c>
      <c r="E13" s="6">
        <v>42</v>
      </c>
      <c r="F13" s="6">
        <v>45</v>
      </c>
      <c r="G13" s="8">
        <f t="shared" si="0"/>
        <v>43.5</v>
      </c>
      <c r="H13" s="5"/>
      <c r="I13" s="5"/>
      <c r="J13" s="8" t="e">
        <f t="shared" si="1"/>
        <v>#REF!</v>
      </c>
      <c r="K13" s="9" t="e">
        <f>G13+#REF!</f>
        <v>#REF!</v>
      </c>
      <c r="L13" s="1">
        <v>29</v>
      </c>
    </row>
    <row r="14" spans="1:12" ht="24" customHeight="1">
      <c r="A14" s="54"/>
      <c r="B14" s="45" t="s">
        <v>91</v>
      </c>
      <c r="C14" s="46"/>
      <c r="D14" s="2" t="s">
        <v>92</v>
      </c>
      <c r="E14" s="6">
        <v>8.1</v>
      </c>
      <c r="F14" s="6">
        <v>8.1</v>
      </c>
      <c r="G14" s="8">
        <f t="shared" si="0"/>
        <v>8.1</v>
      </c>
      <c r="H14" s="5"/>
      <c r="I14" s="5"/>
      <c r="J14" s="8" t="e">
        <f t="shared" si="1"/>
        <v>#REF!</v>
      </c>
      <c r="K14" s="9" t="e">
        <f>G14+#REF!</f>
        <v>#REF!</v>
      </c>
      <c r="L14" s="1">
        <v>29</v>
      </c>
    </row>
    <row r="15" spans="1:12" ht="24" customHeight="1">
      <c r="A15" s="54" t="s">
        <v>98</v>
      </c>
      <c r="B15" s="45" t="s">
        <v>99</v>
      </c>
      <c r="C15" s="46"/>
      <c r="D15" s="2" t="s">
        <v>48</v>
      </c>
      <c r="E15" s="6">
        <v>33.01</v>
      </c>
      <c r="F15" s="6">
        <v>30.15</v>
      </c>
      <c r="G15" s="2">
        <f>E15+F15</f>
        <v>63.16</v>
      </c>
      <c r="H15" s="5" t="e">
        <f>G15+#REF!</f>
        <v>#REF!</v>
      </c>
      <c r="I15" s="5" t="e">
        <f>G15+#REF!</f>
        <v>#REF!</v>
      </c>
      <c r="J15" s="5" t="e">
        <f>G15+#REF!</f>
        <v>#REF!</v>
      </c>
      <c r="K15" s="9"/>
    </row>
    <row r="16" spans="1:12" ht="24" customHeight="1">
      <c r="A16" s="54"/>
      <c r="B16" s="49" t="s">
        <v>109</v>
      </c>
      <c r="C16" s="50"/>
      <c r="D16" s="2" t="s">
        <v>48</v>
      </c>
      <c r="E16" s="8">
        <f t="shared" ref="E16:J16" si="2">E15/E8</f>
        <v>0.45003408316291799</v>
      </c>
      <c r="F16" s="8">
        <f t="shared" si="2"/>
        <v>0.45</v>
      </c>
      <c r="G16" s="8">
        <f t="shared" si="2"/>
        <v>0.450017812611329</v>
      </c>
      <c r="H16" s="8" t="e">
        <f t="shared" si="2"/>
        <v>#REF!</v>
      </c>
      <c r="I16" s="8" t="e">
        <f t="shared" si="2"/>
        <v>#REF!</v>
      </c>
      <c r="J16" s="8" t="e">
        <f t="shared" si="2"/>
        <v>#REF!</v>
      </c>
      <c r="K16" s="9"/>
    </row>
    <row r="17" spans="1:11" ht="24" customHeight="1">
      <c r="A17" s="54"/>
      <c r="B17" s="45" t="s">
        <v>119</v>
      </c>
      <c r="C17" s="46"/>
      <c r="D17" s="2" t="s">
        <v>48</v>
      </c>
      <c r="E17" s="8">
        <f t="shared" ref="E17:J17" si="3">E15*0.68</f>
        <v>22.4468</v>
      </c>
      <c r="F17" s="8">
        <f t="shared" si="3"/>
        <v>20.501999999999999</v>
      </c>
      <c r="G17" s="8">
        <f t="shared" si="3"/>
        <v>42.948799999999999</v>
      </c>
      <c r="H17" s="8" t="e">
        <f t="shared" si="3"/>
        <v>#REF!</v>
      </c>
      <c r="I17" s="8" t="e">
        <f t="shared" si="3"/>
        <v>#REF!</v>
      </c>
      <c r="J17" s="8" t="e">
        <f t="shared" si="3"/>
        <v>#REF!</v>
      </c>
      <c r="K17" s="9"/>
    </row>
    <row r="18" spans="1:11" ht="24" customHeight="1">
      <c r="A18" s="54"/>
      <c r="B18" s="45" t="s">
        <v>129</v>
      </c>
      <c r="C18" s="46"/>
      <c r="D18" s="2" t="s">
        <v>130</v>
      </c>
      <c r="E18" s="8">
        <f t="shared" ref="E18:J18" si="4">E8*0.04</f>
        <v>2.9340000000000002</v>
      </c>
      <c r="F18" s="8">
        <f t="shared" si="4"/>
        <v>2.68</v>
      </c>
      <c r="G18" s="8">
        <f t="shared" si="4"/>
        <v>5.6139999999999999</v>
      </c>
      <c r="H18" s="8" t="e">
        <f t="shared" si="4"/>
        <v>#REF!</v>
      </c>
      <c r="I18" s="8" t="e">
        <f t="shared" si="4"/>
        <v>#REF!</v>
      </c>
      <c r="J18" s="8" t="e">
        <f t="shared" si="4"/>
        <v>#REF!</v>
      </c>
      <c r="K18" s="9"/>
    </row>
    <row r="19" spans="1:11" ht="24" customHeight="1">
      <c r="A19" s="54"/>
      <c r="B19" s="45" t="s">
        <v>140</v>
      </c>
      <c r="C19" s="46"/>
      <c r="D19" s="2" t="s">
        <v>141</v>
      </c>
      <c r="E19" s="10">
        <f t="shared" ref="E19:J19" si="5">E8*20</f>
        <v>1467</v>
      </c>
      <c r="F19" s="10">
        <f t="shared" si="5"/>
        <v>1340</v>
      </c>
      <c r="G19" s="10">
        <f t="shared" si="5"/>
        <v>2807</v>
      </c>
      <c r="H19" s="10" t="e">
        <f t="shared" si="5"/>
        <v>#REF!</v>
      </c>
      <c r="I19" s="10" t="e">
        <f t="shared" si="5"/>
        <v>#REF!</v>
      </c>
      <c r="J19" s="10" t="e">
        <f t="shared" si="5"/>
        <v>#REF!</v>
      </c>
      <c r="K19" s="9"/>
    </row>
    <row r="20" spans="1:11" ht="24" customHeight="1">
      <c r="A20" s="54"/>
      <c r="B20" s="45" t="s">
        <v>176</v>
      </c>
      <c r="C20" s="46"/>
      <c r="D20" s="2" t="s">
        <v>48</v>
      </c>
      <c r="E20" s="8"/>
      <c r="F20" s="8"/>
      <c r="G20" s="11"/>
      <c r="H20" s="5"/>
      <c r="I20" s="5"/>
      <c r="J20" s="5"/>
    </row>
    <row r="21" spans="1:11" ht="24" customHeight="1">
      <c r="A21" s="54"/>
      <c r="B21" s="45" t="s">
        <v>151</v>
      </c>
      <c r="C21" s="46"/>
      <c r="D21" s="2" t="s">
        <v>152</v>
      </c>
      <c r="E21" s="4">
        <v>7050</v>
      </c>
      <c r="F21" s="4">
        <v>6780</v>
      </c>
      <c r="G21" s="10">
        <f>E21+F21</f>
        <v>13830</v>
      </c>
      <c r="H21" s="5" t="e">
        <f>G21+#REF!</f>
        <v>#REF!</v>
      </c>
      <c r="I21" s="5" t="e">
        <f>G21+#REF!</f>
        <v>#REF!</v>
      </c>
      <c r="J21" s="5" t="e">
        <f>G21+#REF!</f>
        <v>#REF!</v>
      </c>
    </row>
    <row r="22" spans="1:11" ht="24" customHeight="1">
      <c r="A22" s="54"/>
      <c r="B22" s="49" t="s">
        <v>162</v>
      </c>
      <c r="C22" s="50"/>
      <c r="D22" s="2" t="s">
        <v>152</v>
      </c>
      <c r="E22" s="8">
        <f t="shared" ref="E22:J22" si="6">E21/E8</f>
        <v>96.114519427402897</v>
      </c>
      <c r="F22" s="8">
        <f t="shared" si="6"/>
        <v>101.19402985074601</v>
      </c>
      <c r="G22" s="8">
        <f t="shared" si="6"/>
        <v>98.539365871036694</v>
      </c>
      <c r="H22" s="8" t="e">
        <f t="shared" si="6"/>
        <v>#REF!</v>
      </c>
      <c r="I22" s="8" t="e">
        <f t="shared" si="6"/>
        <v>#REF!</v>
      </c>
      <c r="J22" s="8" t="e">
        <f t="shared" si="6"/>
        <v>#REF!</v>
      </c>
    </row>
    <row r="23" spans="1:11">
      <c r="A23" s="51" t="s">
        <v>172</v>
      </c>
      <c r="B23" s="55"/>
      <c r="C23" s="56"/>
      <c r="D23" s="56"/>
      <c r="E23" s="56"/>
      <c r="F23" s="56"/>
      <c r="G23" s="56"/>
      <c r="H23" s="56"/>
      <c r="I23" s="56"/>
      <c r="J23" s="57"/>
    </row>
    <row r="24" spans="1:11">
      <c r="A24" s="52"/>
      <c r="B24" s="58"/>
      <c r="C24" s="59"/>
      <c r="D24" s="59"/>
      <c r="E24" s="59"/>
      <c r="F24" s="59"/>
      <c r="G24" s="59"/>
      <c r="H24" s="59"/>
      <c r="I24" s="59"/>
      <c r="J24" s="60"/>
    </row>
    <row r="25" spans="1:11">
      <c r="A25" s="52"/>
      <c r="B25" s="58"/>
      <c r="C25" s="59"/>
      <c r="D25" s="59"/>
      <c r="E25" s="59"/>
      <c r="F25" s="59"/>
      <c r="G25" s="59"/>
      <c r="H25" s="59"/>
      <c r="I25" s="59"/>
      <c r="J25" s="60"/>
    </row>
    <row r="26" spans="1:11">
      <c r="A26" s="52"/>
      <c r="B26" s="58"/>
      <c r="C26" s="59"/>
      <c r="D26" s="59"/>
      <c r="E26" s="59"/>
      <c r="F26" s="59"/>
      <c r="G26" s="59"/>
      <c r="H26" s="59"/>
      <c r="I26" s="59"/>
      <c r="J26" s="60"/>
    </row>
    <row r="27" spans="1:11">
      <c r="A27" s="53"/>
      <c r="B27" s="61"/>
      <c r="C27" s="62"/>
      <c r="D27" s="62"/>
      <c r="E27" s="62"/>
      <c r="F27" s="62"/>
      <c r="G27" s="62"/>
      <c r="H27" s="62"/>
      <c r="I27" s="62"/>
      <c r="J27" s="63"/>
    </row>
  </sheetData>
  <mergeCells count="29">
    <mergeCell ref="A23:A27"/>
    <mergeCell ref="B23:J27"/>
    <mergeCell ref="B19:C19"/>
    <mergeCell ref="B20:C20"/>
    <mergeCell ref="B21:C21"/>
    <mergeCell ref="B22:C22"/>
    <mergeCell ref="A4:A7"/>
    <mergeCell ref="A9:A14"/>
    <mergeCell ref="A15:A22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B4:C4"/>
    <mergeCell ref="B5:C5"/>
    <mergeCell ref="B6:C6"/>
    <mergeCell ref="B7:C7"/>
    <mergeCell ref="B8:C8"/>
    <mergeCell ref="A1:J1"/>
    <mergeCell ref="A2:D2"/>
    <mergeCell ref="E2:G2"/>
    <mergeCell ref="H2:J2"/>
    <mergeCell ref="A3:C3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原表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行政</dc:creator>
  <cp:lastModifiedBy>1501</cp:lastModifiedBy>
  <dcterms:created xsi:type="dcterms:W3CDTF">2023-05-15T19:15:00Z</dcterms:created>
  <dcterms:modified xsi:type="dcterms:W3CDTF">2025-11-25T05:13:21Z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4A3771AB39F1F61E67670969080FE250_43</vt:lpwstr>
  </property>
</Properties>
</file>