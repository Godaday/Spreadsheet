
<file path=[Content_Types].xml><?xml version="1.0" encoding="utf-8"?>
<Types xmlns="http://schemas.openxmlformats.org/package/2006/content-types">
  <Default Extension="png" ContentType="image/png"/>
  <Default Extension="svg" ContentType="image/svg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Codes\WebExcel\Spreadsheet\ExcelTemplates\"/>
    </mc:Choice>
  </mc:AlternateContent>
  <bookViews>
    <workbookView xWindow="0" yWindow="0" windowWidth="29100" windowHeight="14565"/>
  </bookViews>
  <sheets>
    <sheet name="Sheet1" sheetId="1" r:id="rId1"/>
    <sheet name="原料采购到货" sheetId="2" r:id="rId2"/>
    <sheet name="新榨产品发运" sheetId="3" r:id="rId3"/>
    <sheet name="原表" sheetId="4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3" i="4" l="1"/>
  <c r="E83" i="4"/>
  <c r="F82" i="4"/>
  <c r="E82" i="4"/>
  <c r="F81" i="4"/>
  <c r="F80" i="4"/>
  <c r="F79" i="4"/>
  <c r="E79" i="4"/>
  <c r="F78" i="4"/>
  <c r="E78" i="4"/>
  <c r="F77" i="4"/>
  <c r="E77" i="4"/>
  <c r="F76" i="4"/>
  <c r="E76" i="4"/>
  <c r="E70" i="4"/>
  <c r="E68" i="4"/>
  <c r="E67" i="4"/>
  <c r="E64" i="4"/>
  <c r="E63" i="4"/>
  <c r="E62" i="4"/>
  <c r="E61" i="4"/>
  <c r="E60" i="4"/>
  <c r="E59" i="4"/>
  <c r="E58" i="4"/>
  <c r="E57" i="4"/>
  <c r="D57" i="4"/>
  <c r="E56" i="4"/>
  <c r="D56" i="4"/>
  <c r="E55" i="4"/>
  <c r="D55" i="4"/>
  <c r="E54" i="4"/>
  <c r="E52" i="4"/>
  <c r="D52" i="4"/>
  <c r="E51" i="4"/>
  <c r="E50" i="4"/>
  <c r="D50" i="4"/>
  <c r="E49" i="4"/>
  <c r="E48" i="4"/>
  <c r="D48" i="4"/>
  <c r="E47" i="4"/>
  <c r="D47" i="4"/>
  <c r="E46" i="4"/>
  <c r="D46" i="4"/>
  <c r="E43" i="4"/>
  <c r="E42" i="4"/>
  <c r="D42" i="4"/>
  <c r="E41" i="4"/>
  <c r="D41" i="4"/>
  <c r="E40" i="4"/>
  <c r="D40" i="4"/>
  <c r="E39" i="4"/>
  <c r="E38" i="4"/>
  <c r="D38" i="4"/>
  <c r="E37" i="4"/>
  <c r="D37" i="4"/>
  <c r="E34" i="4"/>
  <c r="D34" i="4"/>
  <c r="E32" i="4"/>
  <c r="E30" i="4"/>
  <c r="E29" i="4"/>
  <c r="D29" i="4"/>
  <c r="E24" i="4"/>
  <c r="D24" i="4"/>
  <c r="E23" i="4"/>
  <c r="E22" i="4"/>
  <c r="E21" i="4"/>
  <c r="D21" i="4"/>
  <c r="E20" i="4"/>
  <c r="D20" i="4"/>
  <c r="E19" i="4"/>
  <c r="D19" i="4"/>
  <c r="E18" i="4"/>
  <c r="D18" i="4"/>
  <c r="E17" i="4"/>
  <c r="D17" i="4"/>
  <c r="E15" i="4"/>
  <c r="D15" i="4"/>
  <c r="F14" i="4"/>
  <c r="G13" i="4"/>
  <c r="F13" i="4"/>
  <c r="E13" i="4"/>
  <c r="D13" i="4"/>
  <c r="E12" i="4"/>
  <c r="E10" i="4"/>
  <c r="D10" i="4"/>
  <c r="F9" i="4"/>
  <c r="E9" i="4"/>
  <c r="D9" i="4"/>
  <c r="F8" i="4"/>
  <c r="I7" i="4"/>
  <c r="H7" i="4"/>
  <c r="F7" i="4"/>
  <c r="S6" i="4"/>
  <c r="Q6" i="4"/>
  <c r="P6" i="4"/>
  <c r="O6" i="4"/>
  <c r="N6" i="4"/>
  <c r="M6" i="4"/>
  <c r="L6" i="4"/>
  <c r="J6" i="4"/>
  <c r="I6" i="4"/>
  <c r="F6" i="4"/>
  <c r="S5" i="4"/>
  <c r="R5" i="4"/>
  <c r="Q5" i="4"/>
  <c r="P5" i="4"/>
  <c r="O5" i="4"/>
  <c r="N5" i="4"/>
  <c r="F5" i="4"/>
  <c r="E5" i="4"/>
  <c r="D5" i="4"/>
  <c r="S4" i="4"/>
  <c r="R4" i="4"/>
  <c r="Q4" i="4"/>
  <c r="P4" i="4"/>
  <c r="O4" i="4"/>
  <c r="N4" i="4"/>
  <c r="F4" i="4"/>
  <c r="E4" i="4"/>
  <c r="D4" i="4"/>
  <c r="J3" i="4"/>
  <c r="I3" i="4"/>
</calcChain>
</file>

<file path=xl/comments1.xml><?xml version="1.0" encoding="utf-8"?>
<comments xmlns="http://schemas.openxmlformats.org/spreadsheetml/2006/main">
  <authors>
    <author>Thinkserver</author>
    <author>赵光伟</author>
    <author>马丹婷</author>
  </authors>
  <commentList>
    <comment ref="G9" authorId="0" shapeId="0">
      <text>
        <r>
          <rPr>
            <b/>
            <sz val="9"/>
            <rFont val="宋体"/>
            <charset val="134"/>
          </rPr>
          <t>Thinkserver:</t>
        </r>
        <r>
          <rPr>
            <sz val="9"/>
            <rFont val="宋体"/>
            <charset val="134"/>
          </rPr>
          <t xml:space="preserve">
502.58/31</t>
        </r>
      </text>
    </comment>
    <comment ref="G19" authorId="0" shapeId="0">
      <text>
        <r>
          <rPr>
            <b/>
            <sz val="9"/>
            <rFont val="宋体"/>
            <charset val="134"/>
          </rPr>
          <t>Thinkserver:</t>
        </r>
        <r>
          <rPr>
            <sz val="9"/>
            <rFont val="宋体"/>
            <charset val="134"/>
          </rPr>
          <t xml:space="preserve">
备注：10月4日13：03分停机；16：49分正常（蒸发压料处理）</t>
        </r>
      </text>
    </comment>
    <comment ref="B22" authorId="1" shapeId="0">
      <text>
        <r>
          <rPr>
            <sz val="9"/>
            <rFont val="宋体"/>
            <charset val="134"/>
          </rPr>
          <t>（黑点 0.1mm-0.8mm /0.16kg小于10个；黄点对样品或翻动、或溶解方式检查，肉眼可见（≥0.2mm)折算相当10Kg小于15个；金属异物&lt;2mm）</t>
        </r>
      </text>
    </comment>
    <comment ref="G47" authorId="0" shapeId="0">
      <text>
        <r>
          <rPr>
            <b/>
            <sz val="9"/>
            <rFont val="宋体"/>
            <charset val="134"/>
          </rPr>
          <t>Thinkserver:</t>
        </r>
        <r>
          <rPr>
            <sz val="9"/>
            <rFont val="宋体"/>
            <charset val="134"/>
          </rPr>
          <t xml:space="preserve">
1561.29/33</t>
        </r>
      </text>
    </comment>
    <comment ref="G48" authorId="0" shapeId="0">
      <text>
        <r>
          <rPr>
            <b/>
            <sz val="9"/>
            <rFont val="宋体"/>
            <charset val="134"/>
          </rPr>
          <t>Thinkserver:</t>
        </r>
        <r>
          <rPr>
            <sz val="9"/>
            <rFont val="宋体"/>
            <charset val="134"/>
          </rPr>
          <t xml:space="preserve">
10月1日：1581
10月2日：846</t>
        </r>
      </text>
    </comment>
    <comment ref="B49" authorId="2" shapeId="0">
      <text>
        <r>
          <rPr>
            <b/>
            <sz val="9"/>
            <rFont val="宋体"/>
            <charset val="134"/>
          </rPr>
          <t>马丹婷:</t>
        </r>
        <r>
          <rPr>
            <sz val="9"/>
            <rFont val="宋体"/>
            <charset val="134"/>
          </rPr>
          <t xml:space="preserve">
全厂耗电折算</t>
        </r>
      </text>
    </comment>
    <comment ref="B50" authorId="2" shapeId="0">
      <text>
        <r>
          <rPr>
            <b/>
            <sz val="9"/>
            <rFont val="宋体"/>
            <charset val="134"/>
          </rPr>
          <t>马丹婷:</t>
        </r>
        <r>
          <rPr>
            <sz val="9"/>
            <rFont val="宋体"/>
            <charset val="134"/>
          </rPr>
          <t xml:space="preserve">
糖间用量折算</t>
        </r>
      </text>
    </comment>
    <comment ref="G50" authorId="0" shapeId="0">
      <text>
        <r>
          <rPr>
            <b/>
            <sz val="9"/>
            <rFont val="宋体"/>
            <charset val="134"/>
          </rPr>
          <t>Thinkserver:</t>
        </r>
        <r>
          <rPr>
            <sz val="9"/>
            <rFont val="宋体"/>
            <charset val="134"/>
          </rPr>
          <t xml:space="preserve">
10月1日：2628
10月2日：354</t>
        </r>
      </text>
    </comment>
    <comment ref="G51" authorId="0" shapeId="0">
      <text>
        <r>
          <rPr>
            <b/>
            <sz val="9"/>
            <rFont val="宋体"/>
            <charset val="134"/>
          </rPr>
          <t>Thinkserver:</t>
        </r>
        <r>
          <rPr>
            <sz val="9"/>
            <rFont val="宋体"/>
            <charset val="134"/>
          </rPr>
          <t xml:space="preserve">
10月1日：138
10月2日：249</t>
        </r>
      </text>
    </comment>
    <comment ref="G56" authorId="0" shapeId="0">
      <text>
        <r>
          <rPr>
            <b/>
            <sz val="9"/>
            <rFont val="宋体"/>
            <charset val="134"/>
          </rPr>
          <t>Thinkserver:</t>
        </r>
        <r>
          <rPr>
            <sz val="9"/>
            <rFont val="宋体"/>
            <charset val="134"/>
          </rPr>
          <t xml:space="preserve">
62959/30</t>
        </r>
      </text>
    </comment>
  </commentList>
</comments>
</file>

<file path=xl/comments2.xml><?xml version="1.0" encoding="utf-8"?>
<comments xmlns="http://schemas.openxmlformats.org/spreadsheetml/2006/main">
  <authors>
    <author>Thinkserver</author>
    <author>赵光伟</author>
    <author>马丹婷</author>
  </authors>
  <commentList>
    <comment ref="I3" authorId="0" shapeId="0">
      <text>
        <r>
          <rPr>
            <sz val="9"/>
            <rFont val="宋体"/>
            <charset val="134"/>
          </rPr>
          <t>10月22日昭苏工厂有一车皮重过错，打报告已更改</t>
        </r>
      </text>
    </comment>
    <comment ref="E4" authorId="0" shapeId="0">
      <text>
        <r>
          <rPr>
            <sz val="9"/>
            <rFont val="宋体"/>
            <charset val="134"/>
          </rPr>
          <t xml:space="preserve">1、10月3日新F57456该车次拉运的阿克达拉赵海振甜菜，扣杂率输入错误，将12%输成了9%，为了保证验质准确，需要将扣杂率进行更改（1.2234）
16号
17号昭苏收购站新F53277,过重磅时扫到别人空磅 ，重磅重量57.48吨过成了21.43吨，原料申请已更改
</t>
        </r>
      </text>
    </comment>
    <comment ref="F5" authorId="0" shapeId="0">
      <text>
        <r>
          <rPr>
            <b/>
            <sz val="9"/>
            <rFont val="宋体"/>
            <charset val="134"/>
          </rPr>
          <t>Thinkserver:</t>
        </r>
        <r>
          <rPr>
            <sz val="9"/>
            <rFont val="宋体"/>
            <charset val="134"/>
          </rPr>
          <t xml:space="preserve">
新宁累计</t>
        </r>
      </text>
    </comment>
    <comment ref="F6" authorId="0" shapeId="0">
      <text>
        <r>
          <rPr>
            <b/>
            <sz val="9"/>
            <rFont val="宋体"/>
            <charset val="134"/>
          </rPr>
          <t>Thinkserver:</t>
        </r>
        <r>
          <rPr>
            <sz val="9"/>
            <rFont val="宋体"/>
            <charset val="134"/>
          </rPr>
          <t xml:space="preserve">
新宁日计</t>
        </r>
      </text>
    </comment>
    <comment ref="E7" authorId="0" shapeId="0">
      <text>
        <r>
          <rPr>
            <b/>
            <sz val="9"/>
            <rFont val="宋体"/>
            <charset val="134"/>
          </rPr>
          <t>Thinkserver:</t>
        </r>
        <r>
          <rPr>
            <sz val="9"/>
            <rFont val="宋体"/>
            <charset val="134"/>
          </rPr>
          <t xml:space="preserve">
502.58/31</t>
        </r>
      </text>
    </comment>
    <comment ref="F7" authorId="0" shapeId="0">
      <text>
        <r>
          <rPr>
            <b/>
            <sz val="9"/>
            <rFont val="宋体"/>
            <charset val="134"/>
          </rPr>
          <t>Thinkserver:</t>
        </r>
        <r>
          <rPr>
            <sz val="9"/>
            <rFont val="宋体"/>
            <charset val="134"/>
          </rPr>
          <t xml:space="preserve">
入窖</t>
        </r>
      </text>
    </comment>
    <comment ref="F8" authorId="0" shapeId="0">
      <text>
        <r>
          <rPr>
            <b/>
            <sz val="9"/>
            <rFont val="宋体"/>
            <charset val="134"/>
          </rPr>
          <t>Thinkserver:</t>
        </r>
        <r>
          <rPr>
            <sz val="9"/>
            <rFont val="宋体"/>
            <charset val="134"/>
          </rPr>
          <t xml:space="preserve">
入窖*1.05</t>
        </r>
      </text>
    </comment>
    <comment ref="F9" authorId="0" shapeId="0">
      <text>
        <r>
          <rPr>
            <b/>
            <sz val="9"/>
            <rFont val="宋体"/>
            <charset val="134"/>
          </rPr>
          <t>Thinkserver:</t>
        </r>
        <r>
          <rPr>
            <sz val="9"/>
            <rFont val="宋体"/>
            <charset val="134"/>
          </rPr>
          <t xml:space="preserve">
昭苏累计</t>
        </r>
      </text>
    </comment>
    <comment ref="E17" authorId="0" shapeId="0">
      <text>
        <r>
          <rPr>
            <b/>
            <sz val="9"/>
            <rFont val="宋体"/>
            <charset val="134"/>
          </rPr>
          <t>Thinkserver:</t>
        </r>
        <r>
          <rPr>
            <sz val="9"/>
            <rFont val="宋体"/>
            <charset val="134"/>
          </rPr>
          <t xml:space="preserve">
备注：10月4日13：03分停机；16：49分正常（蒸发压料处理）</t>
        </r>
      </text>
    </comment>
    <comment ref="B20" authorId="1" shapeId="0">
      <text>
        <r>
          <rPr>
            <sz val="9"/>
            <rFont val="宋体"/>
            <charset val="134"/>
          </rPr>
          <t>（黑点 0.1mm-0.8mm /0.16kg小于10个；黄点对样品或翻动、或溶解方式检查，肉眼可见（≥0.2mm)折算相当10Kg小于15个；金属异物&lt;2mm）</t>
        </r>
      </text>
    </comment>
    <comment ref="E45" authorId="0" shapeId="0">
      <text>
        <r>
          <rPr>
            <b/>
            <sz val="9"/>
            <rFont val="宋体"/>
            <charset val="134"/>
          </rPr>
          <t>Thinkserver:</t>
        </r>
        <r>
          <rPr>
            <sz val="9"/>
            <rFont val="宋体"/>
            <charset val="134"/>
          </rPr>
          <t xml:space="preserve">
1561.29/33</t>
        </r>
      </text>
    </comment>
    <comment ref="E46" authorId="0" shapeId="0">
      <text>
        <r>
          <rPr>
            <b/>
            <sz val="9"/>
            <rFont val="宋体"/>
            <charset val="134"/>
          </rPr>
          <t>Thinkserver:</t>
        </r>
        <r>
          <rPr>
            <sz val="9"/>
            <rFont val="宋体"/>
            <charset val="134"/>
          </rPr>
          <t xml:space="preserve">
10月1日：1581
10月2日：846</t>
        </r>
      </text>
    </comment>
    <comment ref="B47" authorId="2" shapeId="0">
      <text>
        <r>
          <rPr>
            <b/>
            <sz val="9"/>
            <rFont val="宋体"/>
            <charset val="134"/>
          </rPr>
          <t>马丹婷:</t>
        </r>
        <r>
          <rPr>
            <sz val="9"/>
            <rFont val="宋体"/>
            <charset val="134"/>
          </rPr>
          <t xml:space="preserve">
全厂耗电折算</t>
        </r>
      </text>
    </comment>
    <comment ref="B48" authorId="2" shapeId="0">
      <text>
        <r>
          <rPr>
            <b/>
            <sz val="9"/>
            <rFont val="宋体"/>
            <charset val="134"/>
          </rPr>
          <t>马丹婷:</t>
        </r>
        <r>
          <rPr>
            <sz val="9"/>
            <rFont val="宋体"/>
            <charset val="134"/>
          </rPr>
          <t xml:space="preserve">
糖间用量折算</t>
        </r>
      </text>
    </comment>
    <comment ref="E48" authorId="0" shapeId="0">
      <text>
        <r>
          <rPr>
            <b/>
            <sz val="9"/>
            <rFont val="宋体"/>
            <charset val="134"/>
          </rPr>
          <t>Thinkserver:</t>
        </r>
        <r>
          <rPr>
            <sz val="9"/>
            <rFont val="宋体"/>
            <charset val="134"/>
          </rPr>
          <t xml:space="preserve">
10月1日：2628
10月2日：354</t>
        </r>
      </text>
    </comment>
    <comment ref="E49" authorId="0" shapeId="0">
      <text>
        <r>
          <rPr>
            <b/>
            <sz val="9"/>
            <rFont val="宋体"/>
            <charset val="134"/>
          </rPr>
          <t>Thinkserver:</t>
        </r>
        <r>
          <rPr>
            <sz val="9"/>
            <rFont val="宋体"/>
            <charset val="134"/>
          </rPr>
          <t xml:space="preserve">
10月1日：138
10月2日：249</t>
        </r>
      </text>
    </comment>
    <comment ref="E53" authorId="0" shapeId="0">
      <text>
        <r>
          <rPr>
            <b/>
            <sz val="9"/>
            <rFont val="宋体"/>
            <charset val="134"/>
          </rPr>
          <t>Thinkserver:</t>
        </r>
        <r>
          <rPr>
            <sz val="9"/>
            <rFont val="宋体"/>
            <charset val="134"/>
          </rPr>
          <t xml:space="preserve">
62959/30</t>
        </r>
      </text>
    </comment>
    <comment ref="E76" authorId="0" shapeId="0">
      <text>
        <r>
          <rPr>
            <b/>
            <sz val="9"/>
            <rFont val="宋体"/>
            <charset val="134"/>
          </rPr>
          <t>Thinkserver:</t>
        </r>
        <r>
          <rPr>
            <sz val="9"/>
            <rFont val="宋体"/>
            <charset val="134"/>
          </rPr>
          <t xml:space="preserve">
10月12-10月13日分别发运伊利糖和优级糖，发运产量未分开计算</t>
        </r>
      </text>
    </comment>
    <comment ref="E78" authorId="0" shapeId="0">
      <text>
        <r>
          <rPr>
            <b/>
            <sz val="9"/>
            <rFont val="宋体"/>
            <charset val="134"/>
          </rPr>
          <t>Thinkserver:</t>
        </r>
        <r>
          <rPr>
            <sz val="9"/>
            <rFont val="宋体"/>
            <charset val="134"/>
          </rPr>
          <t xml:space="preserve">
10月12日130
10月13日135.5
</t>
        </r>
      </text>
    </comment>
  </commentList>
</comments>
</file>

<file path=xl/sharedStrings.xml><?xml version="1.0" encoding="utf-8"?>
<sst xmlns="http://schemas.openxmlformats.org/spreadsheetml/2006/main" count="768" uniqueCount="337">
  <si>
    <t>新宁糖业2025/2026生产期综合生产日报（2025.11.2）</t>
  </si>
  <si>
    <t>项   目</t>
  </si>
  <si>
    <t>不同人看不同工厂的数据</t>
  </si>
  <si>
    <t>类别</t>
  </si>
  <si>
    <t>指   标</t>
  </si>
  <si>
    <t>单位</t>
  </si>
  <si>
    <t>日计</t>
  </si>
  <si>
    <t>新宁累计</t>
  </si>
  <si>
    <t>昭苏累计</t>
  </si>
  <si>
    <t>新宁+昭苏累计</t>
  </si>
  <si>
    <t>原料</t>
  </si>
  <si>
    <t>甜菜收购量</t>
  </si>
  <si>
    <t>吨</t>
  </si>
  <si>
    <t>原料采购到货表中的合计日计净重</t>
  </si>
  <si>
    <t>原料采购到货表中的新宁糖业日计净重</t>
  </si>
  <si>
    <t>原料采购到货表中的昭苏糖业日计净重</t>
  </si>
  <si>
    <t>综合扣杂率（含扣杂、扣土、其他）</t>
  </si>
  <si>
    <t>%</t>
  </si>
  <si>
    <t>原料采购到货表中的合计日计扣杂</t>
  </si>
  <si>
    <t>原料采购到货表中的新宁糖业累计扣杂</t>
  </si>
  <si>
    <t>原料采购到货表中的昭苏糖业累计扣杂</t>
  </si>
  <si>
    <t>原料采购到货表中的合计累计扣杂</t>
  </si>
  <si>
    <t>入窖率</t>
  </si>
  <si>
    <t>甜菜窖甜菜含糖</t>
  </si>
  <si>
    <t>在菜丝含糖率基础上加基础数据中维护的甜菜窖甜菜含糖系数</t>
  </si>
  <si>
    <t>/</t>
  </si>
  <si>
    <t>在菜丝含糖率累计基础上加基础数据中维护的甜菜窖甜菜含糖系数</t>
  </si>
  <si>
    <t>需要问一下领导，系数不确定</t>
  </si>
  <si>
    <t>菜丝含糖率</t>
  </si>
  <si>
    <t>取制糖车间日报中的‘菜丝糖度’的‘平均’</t>
  </si>
  <si>
    <t>取制糖车间日报中的‘菜丝糖度’的‘累计平均’</t>
  </si>
  <si>
    <t>收购总金额</t>
  </si>
  <si>
    <t>万元</t>
  </si>
  <si>
    <t>原料采购到货表中的合计收购总金额日计</t>
  </si>
  <si>
    <t>原料采购到货表中的新宁糖业收购总金额累计</t>
  </si>
  <si>
    <t>原料采购到货表中的昭苏糖业收购总金额累计</t>
  </si>
  <si>
    <t>原料采购到货表中的合计收购总金额累计</t>
  </si>
  <si>
    <t>到厂含税收购单价</t>
  </si>
  <si>
    <t>元/吨</t>
  </si>
  <si>
    <t>原料采购到货表中的合计到厂含税收购单价日计</t>
  </si>
  <si>
    <t>原料采购到货表中的新宁糖业到厂含税收购单价累计</t>
  </si>
  <si>
    <t>原料采购到货表中的昭苏糖业到厂含税收购单价累计</t>
  </si>
  <si>
    <t>原料采购到货表中的合计到厂含税收购单价累计</t>
  </si>
  <si>
    <t>已付总金额</t>
  </si>
  <si>
    <t>原料采购到货表中的已付总金额日计合计</t>
  </si>
  <si>
    <t>原料采购到货表中的新宁糖业已付总金额累计</t>
  </si>
  <si>
    <t>原料采购到货表中的昭苏糖业已付总金额累计</t>
  </si>
  <si>
    <t>原料采购到货表中的已付总金额累计合计</t>
  </si>
  <si>
    <t>付款比例</t>
  </si>
  <si>
    <t>原料采购到货表中的新宁糖业付款比例累计</t>
  </si>
  <si>
    <t>原料采购到货表中的昭苏糖业付款比例累计</t>
  </si>
  <si>
    <t>原料采购到货表中的付款比例累计合计</t>
  </si>
  <si>
    <t>生产</t>
  </si>
  <si>
    <t>甜菜窖入窖量（净重）</t>
  </si>
  <si>
    <t>原料采购到货表中的合计日计净重*入窖率日计/100</t>
  </si>
  <si>
    <t>原料采购到货表中的新宁糖业累计净重*入窖率新宁累计/100</t>
  </si>
  <si>
    <t>原料采购到货表中的昭苏糖业累计净重*入窖率昭苏累计/100</t>
  </si>
  <si>
    <t>原料采购到货表中的合计累计净重*入窖率新宁+昭苏累计/100</t>
  </si>
  <si>
    <t>其中：倒菜量（净重）</t>
  </si>
  <si>
    <t>ZT系统</t>
  </si>
  <si>
    <t>实际加工量</t>
  </si>
  <si>
    <t>甜菜窖入窖量日计+倒菜量新日计</t>
  </si>
  <si>
    <t>甜菜窖入窖量新宁累计+倒菜量新宁累计</t>
  </si>
  <si>
    <t>甜菜窖入窖量昭苏累计+倒菜量昭苏累计</t>
  </si>
  <si>
    <t>甜菜窖入窖量新宁昭苏累计+倒菜量新宁昭苏累计</t>
  </si>
  <si>
    <t>窖面存量（预估数）</t>
  </si>
  <si>
    <t>人工填写</t>
  </si>
  <si>
    <t>甜菜加工量（乘以系数）</t>
  </si>
  <si>
    <t>入窖量*1.05+倒菜量（系统数量）*1.03+前一天窖面预估数量-当天预估数</t>
  </si>
  <si>
    <t>从第一天开始新宁日计累计求和</t>
  </si>
  <si>
    <t>从第一天开始昭苏日计累计求和</t>
  </si>
  <si>
    <t>新宁累计+昭苏累计</t>
  </si>
  <si>
    <t>系数需要更改</t>
  </si>
  <si>
    <t>糖产量合计</t>
  </si>
  <si>
    <t>白砂糖产量+绵白糖产量</t>
  </si>
  <si>
    <t>白砂糖产量</t>
  </si>
  <si>
    <t>优级终端+普通优级糖+白砂糖一级</t>
  </si>
  <si>
    <t xml:space="preserve">     1.优级终端（乳品糖+差异产品糖）</t>
  </si>
  <si>
    <t>乳品糖+差异产品糖</t>
  </si>
  <si>
    <t>1.1乳品糖</t>
  </si>
  <si>
    <t>伊利标准（亚盐≤0.8）+蒙牛标准（亚盐1-3）</t>
  </si>
  <si>
    <t>1.1.1伊利标准（亚盐≤0.8）</t>
  </si>
  <si>
    <t>1.1.2蒙牛标准（亚盐1-2）</t>
  </si>
  <si>
    <t>1.2差异产品糖</t>
  </si>
  <si>
    <t>大颗粒糖+有机糖+药用糖+白砂糖30kg</t>
  </si>
  <si>
    <t>1.2.1大颗粒糖</t>
  </si>
  <si>
    <t>1.2.2有机糖</t>
  </si>
  <si>
    <t>1.2.3药用糖</t>
  </si>
  <si>
    <t>1.2.4白砂糖30kg</t>
  </si>
  <si>
    <t xml:space="preserve">     2.普通优级糖</t>
  </si>
  <si>
    <t>期货糖+周边C端糖</t>
  </si>
  <si>
    <t>2.1期货糖</t>
  </si>
  <si>
    <t>2.2周边C端糖</t>
  </si>
  <si>
    <t xml:space="preserve">    3.白砂糖一级</t>
  </si>
  <si>
    <t>单晶冰糖</t>
  </si>
  <si>
    <t xml:space="preserve">    4.绵白糖产量</t>
  </si>
  <si>
    <t>绵白糖优级+绵白糖一级</t>
  </si>
  <si>
    <t>4.1绵白糖优级</t>
  </si>
  <si>
    <t>4.2绵白糖一级</t>
  </si>
  <si>
    <t>优级品率</t>
  </si>
  <si>
    <t>（优级终端+普通优级糖+绵白糖优级）/糖产量合计</t>
  </si>
  <si>
    <t>属于新宁工厂新宁累计的（优级终端+普通优级糖+绵白糖优级）/新宁累计糖产量合计</t>
  </si>
  <si>
    <t>属于昭苏工厂昭苏累计的（优级终端+普通优级糖+绵白糖优级）/昭苏累计糖产量合计</t>
  </si>
  <si>
    <t>新宁昭苏累计的（优级终端+普通优级糖+绵白糖优级）/新宁昭苏累计糖产量合计</t>
  </si>
  <si>
    <t>商品糖产率</t>
  </si>
  <si>
    <t>％</t>
  </si>
  <si>
    <t>糖产量合计/甜菜加工量</t>
  </si>
  <si>
    <t>原蜜产量</t>
  </si>
  <si>
    <t>商品蜜产量（锤度76%)</t>
  </si>
  <si>
    <t>原蜜产量*0.8/0.76</t>
  </si>
  <si>
    <t>固定的</t>
  </si>
  <si>
    <t>商品产蜜率（锤度76%）</t>
  </si>
  <si>
    <t>商品产蜜量/甜菜加工量</t>
  </si>
  <si>
    <t>颗粒粕产量</t>
  </si>
  <si>
    <t>普通颗粒粕（含有机）+   加蜜颗粒粕</t>
  </si>
  <si>
    <t>新宁累计普通颗粒粕（含有机）+   加蜜颗粒粕</t>
  </si>
  <si>
    <t>昭苏累计普通颗粒粕（含有机）+   加蜜颗粒粕</t>
  </si>
  <si>
    <t>新宁昭苏累计普通颗粒粕（含有机）+   加蜜颗粒粕</t>
  </si>
  <si>
    <t>其中:普通颗粒粕（含有机）</t>
  </si>
  <si>
    <t>取饲料车间生产日报的普通颗粒粕日计</t>
  </si>
  <si>
    <t>取饲料车间生产日报的普通颗粒粕新宁累计</t>
  </si>
  <si>
    <t>取饲料车间生产日报的普通颗粒粕昭苏累计</t>
  </si>
  <si>
    <t>取饲料车间生产日报的普通颗粒粕新宁昭苏累计</t>
  </si>
  <si>
    <t xml:space="preserve">   加蜜颗粒粕</t>
  </si>
  <si>
    <t>取饲料车间生产日报的加蜜颗粒粕日计</t>
  </si>
  <si>
    <t>取饲料车间生产日报的加蜜颗粒粕新宁累计</t>
  </si>
  <si>
    <t>取饲料车间生产日报的加蜜颗粒粕昭苏累计</t>
  </si>
  <si>
    <t>取饲料车间生产日报的加蜜颗粒粕新宁昭苏累计</t>
  </si>
  <si>
    <t>能耗指标</t>
  </si>
  <si>
    <t>全厂上水量</t>
  </si>
  <si>
    <t>方/h</t>
  </si>
  <si>
    <t>供水车间生产日报的上水量</t>
  </si>
  <si>
    <t>属于新宁工厂的日计上水量求和/新宁工厂的生产天数</t>
  </si>
  <si>
    <t>属于昭苏工厂的日计上水量求和/昭苏工厂的生产天数</t>
  </si>
  <si>
    <t>新宁和昭苏的日计上水量求和/总生产天数</t>
  </si>
  <si>
    <t>吨糖耗水（新鲜水）/吨糖</t>
  </si>
  <si>
    <t>方/吨糖</t>
  </si>
  <si>
    <t>供水车间生产日报的总供水量日计/糖产量合计日计</t>
  </si>
  <si>
    <t>供水车间生产日报的总供水量新宁累计/属于新宁工厂的糖产量累计</t>
  </si>
  <si>
    <t>供水车间生产日报的总供水量昭苏累计/属于昭苏工厂的糖产量累计</t>
  </si>
  <si>
    <t>供水车间生产日报的总供水量累计/糖产量新宁昭苏累计</t>
  </si>
  <si>
    <t>吨糖耗电（全口径，包含外电）</t>
  </si>
  <si>
    <t>度/吨糖</t>
  </si>
  <si>
    <t>动力车间生产日报的发电量日计/糖产量合计日计</t>
  </si>
  <si>
    <t>动力车间生产日报的发电量新宁累计/新宁糖产量累计</t>
  </si>
  <si>
    <t>动力车间生产日报的发电量昭苏累计/昭苏糖产量累计</t>
  </si>
  <si>
    <t>动力车间生产日报发电量新宁昭苏累计/糖产量新宁昭苏累计</t>
  </si>
  <si>
    <t>百吨菜耗气</t>
  </si>
  <si>
    <t>吨/百吨菜</t>
  </si>
  <si>
    <t>动力车间生产日报的制糖用热日计/甜菜加工量日计</t>
  </si>
  <si>
    <t>动力车间生产日报的制糖用热新宁累计/甜菜加工量新宁累计</t>
  </si>
  <si>
    <t>动力车间生产日报的制糖用热昭苏累计/甜菜加工量昭苏累计</t>
  </si>
  <si>
    <t>动力车间生产日报的制糖用热新宁昭苏累计/甜菜加工量新宁昭苏累计</t>
  </si>
  <si>
    <t>制糖耗煤量</t>
  </si>
  <si>
    <t>动力车间生产日报的总耗煤量日计</t>
  </si>
  <si>
    <t>动力车间生产日报的总耗煤量新宁累计</t>
  </si>
  <si>
    <t>动力车间生产日报的总耗煤量昭苏累计</t>
  </si>
  <si>
    <t>动力车间生产日报的总耗煤量累计</t>
  </si>
  <si>
    <t>吨糖耗煤（含外购电折算）</t>
  </si>
  <si>
    <t>吨/吨糖</t>
  </si>
  <si>
    <t>制糖耗煤量日计/糖产量合计日计+外购电折算
（外购电使用量*350/1000/1000）*7000/480/糖产量合计）</t>
  </si>
  <si>
    <t>属于新宁工厂：制糖耗煤量累计/糖产量合计累计+外购电折算</t>
  </si>
  <si>
    <t>属于昭苏工厂：制糖耗煤量累计/糖产量合计累计+外购电折算</t>
  </si>
  <si>
    <t>两个厂的：制糖耗煤量累计/糖产量合计累计+外购电折算</t>
  </si>
  <si>
    <t>外购电是使用量</t>
  </si>
  <si>
    <t>度</t>
  </si>
  <si>
    <t>从第一天开始新宁工厂的日计累计求和</t>
  </si>
  <si>
    <t>从第一天开始昭苏工厂的日计累计求和</t>
  </si>
  <si>
    <t>颗粒粕车间耗煤量</t>
  </si>
  <si>
    <t>饲料车间生产日报的总耗原煤日计</t>
  </si>
  <si>
    <t>饲料车间生产日报的总耗原煤新宁累计</t>
  </si>
  <si>
    <t>饲料车间生产日报的总耗原煤昭苏累计</t>
  </si>
  <si>
    <t>饲料车间生产日报的总耗原煤累计</t>
  </si>
  <si>
    <t>吨粕耗煤</t>
  </si>
  <si>
    <t>吨/吨粕</t>
  </si>
  <si>
    <t>饲料车间生产日报的吨粕耗煤日计</t>
  </si>
  <si>
    <t>饲料车间生产日报的吨粕耗煤新宁累计</t>
  </si>
  <si>
    <t>饲料车间生产日报的吨粕耗煤昭苏累计</t>
  </si>
  <si>
    <t>饲料车间生产日报的吨粕耗煤累计</t>
  </si>
  <si>
    <t>损失指标</t>
  </si>
  <si>
    <t>进环保集水池COD浓度</t>
  </si>
  <si>
    <t>mg/l</t>
  </si>
  <si>
    <t>属于新宁工厂：进环保集水池COD浓度日计累计/天数</t>
  </si>
  <si>
    <t>属于昭苏工厂：进环保集水池COD浓度日计累计/天数</t>
  </si>
  <si>
    <t>两工厂：进环保集水池COD浓度日计累计/天数</t>
  </si>
  <si>
    <t>上水量</t>
  </si>
  <si>
    <t>进环保集水池COD重量</t>
  </si>
  <si>
    <t>日计进环保集水池COD浓度*日计上水量*0.000001</t>
  </si>
  <si>
    <t>新宁累计进环保集水池COD浓度*新宁累计上水量*0.000001</t>
  </si>
  <si>
    <t>昭苏累计进环保集水池COD浓度*昭苏累计上水量*0.000001</t>
  </si>
  <si>
    <t>新宁昭苏累计进环保集水池COD浓度*新宁昭苏累计上水量*0.000001</t>
  </si>
  <si>
    <t>糖蜜损失（对菜）</t>
  </si>
  <si>
    <t>商品蜜产量*制糖车间生产日报的废蜜糖度平均/甜菜加工量</t>
  </si>
  <si>
    <t>属于新宁工厂：新宁累计商品蜜产量*新宁制糖车间生产日报的废蜜糖度累计平均/新宁甜菜加工量累计
（新宁制糖车间生产日报的废蜜糖度累计平均=属于新宁的制糖车间生产日报的废蜜糖度平均求和/新宁生产天数）</t>
  </si>
  <si>
    <t>属于昭苏工厂：昭苏累计商品蜜产量*昭苏制糖车间生产日报的废蜜糖度累计平均/昭苏甜菜加工量累计
（昭苏制糖车间生产日报的废蜜糖度累计平均=属于昭苏的制糖车间生产日报的废蜜糖度平均求和/昭苏生产天数）</t>
  </si>
  <si>
    <t>累计商品蜜产量*制糖车间生产日报的废蜜糖度累计平均/甜菜加工量累计</t>
  </si>
  <si>
    <t>废粕损失（对菜）</t>
  </si>
  <si>
    <t>制糖车间生产日报的废粕损失糖度量日计/综合日报甜菜加工量*100</t>
  </si>
  <si>
    <t>制糖车间生产日报的废粕损失糖度量新宁累计/甜菜加工量新宁累计*100</t>
  </si>
  <si>
    <t>制糖车间生产日报的废粕损失糖度量昭苏累计/甜菜加工量昭苏累计*100</t>
  </si>
  <si>
    <t>制糖车间生产日报的废粕损失糖度量新宁昭苏累计/甜菜加工量新宁昭苏累计*100</t>
  </si>
  <si>
    <t>滤泥损失（对菜）</t>
  </si>
  <si>
    <t>制糖车间生产日报的滤泥糖度平均*10%</t>
  </si>
  <si>
    <t>制糖车间生产日报的滤泥糖度累计平均*10%</t>
  </si>
  <si>
    <t>结晶灌数</t>
  </si>
  <si>
    <t>一砂罐数</t>
  </si>
  <si>
    <t>罐</t>
  </si>
  <si>
    <t>属于新宁工厂：一砂罐数累计求和</t>
  </si>
  <si>
    <t>属于昭苏工厂：一砂罐数累计求和</t>
  </si>
  <si>
    <t>二砂罐数</t>
  </si>
  <si>
    <t>属于新宁工厂：二砂罐数累计求和</t>
  </si>
  <si>
    <t>属于昭苏工厂：二砂罐数累计求和</t>
  </si>
  <si>
    <t>三砂罐数</t>
  </si>
  <si>
    <t>属于新宁工厂：三砂罐数累计求和</t>
  </si>
  <si>
    <t>属于昭苏工厂：三砂罐数累计求和</t>
  </si>
  <si>
    <t>库存(公司内)</t>
  </si>
  <si>
    <t>甜菜库存量</t>
  </si>
  <si>
    <t>甜菜收购量累计 - 甜菜加工量累计</t>
  </si>
  <si>
    <t>成品糖库存量</t>
  </si>
  <si>
    <t>库存(公司内)优级累计 + 一级累计</t>
  </si>
  <si>
    <t>其中：优级</t>
  </si>
  <si>
    <t>生产的乳品糖累计 + 白砂糖30kg累计 + 普通优级糖累计 - 新榨产品发运表的优级糖发运累计</t>
  </si>
  <si>
    <t xml:space="preserve">     一级</t>
  </si>
  <si>
    <t>生产的白砂糖一级 - 新榨产品发运表的一级累计</t>
  </si>
  <si>
    <t>绵白糖库存量</t>
  </si>
  <si>
    <t>有机糖库存量</t>
  </si>
  <si>
    <t>颗粒粕库存量</t>
  </si>
  <si>
    <t>库存(公司内)的普通颗粒粕 + 加蜜颗粒粕</t>
  </si>
  <si>
    <t>其中:普通颗粒粕</t>
  </si>
  <si>
    <t>生产的普通颗粒粕 - 新榨产品发运表的普通颗粒粕累计</t>
  </si>
  <si>
    <t>生产的加蜜颗粒粕 - 新榨产品发运表的加蜜颗粒粕累计</t>
  </si>
  <si>
    <t>原蜜库存量</t>
  </si>
  <si>
    <t>生产的商品蜜产量（锤度76%) - 新榨产品发运表的糖蜜累计</t>
  </si>
  <si>
    <t>单晶冰糖库存量</t>
  </si>
  <si>
    <t>备注：</t>
  </si>
  <si>
    <t>原料采购到货日报</t>
  </si>
  <si>
    <t>日计运重</t>
  </si>
  <si>
    <t>日计净重</t>
  </si>
  <si>
    <t>日计扣杂</t>
  </si>
  <si>
    <t>累计运重</t>
  </si>
  <si>
    <t>累计净重</t>
  </si>
  <si>
    <t>累计扣杂</t>
  </si>
  <si>
    <t>入窖率日计</t>
  </si>
  <si>
    <t>入窖率累计</t>
  </si>
  <si>
    <t>收购总金额日计</t>
  </si>
  <si>
    <t>收购总金额累计</t>
  </si>
  <si>
    <t>到厂含税收购单价日计</t>
  </si>
  <si>
    <t>到厂含税收购单价累计</t>
  </si>
  <si>
    <t>已付总金额日计</t>
  </si>
  <si>
    <t>已付总金额累计</t>
  </si>
  <si>
    <t>应付款日计</t>
  </si>
  <si>
    <t>应付款累计</t>
  </si>
  <si>
    <t>付款比例日计</t>
  </si>
  <si>
    <t>付款比例累计</t>
  </si>
  <si>
    <t>新宁糖业</t>
  </si>
  <si>
    <t>人工填写（需要按接到的ZT系统接口数据进行计算，物料的天是指2点到2点）</t>
  </si>
  <si>
    <t>（新宁糖业日计运重-新宁糖业日计净重）/新宁糖业日计运重*100</t>
  </si>
  <si>
    <t>新宁糖业日计运重从当期第一天开始累计求和</t>
  </si>
  <si>
    <t>（新宁糖业累计运重-新宁糖业累计净重）/新宁糖业累计运重*100</t>
  </si>
  <si>
    <t>需要确认</t>
  </si>
  <si>
    <t>新宁糖业收购总金额日计从第一天开始累计求和</t>
  </si>
  <si>
    <t>新宁糖业收购总金额日计/新宁糖业日计净重*10000</t>
  </si>
  <si>
    <t>新宁糖业收购总金额累计/新宁糖业累计净重*10000</t>
  </si>
  <si>
    <t>属于新宁糖业的ZT系统的原料数据，按天已结算状态的应付金额累计求和</t>
  </si>
  <si>
    <t>属于新宁糖业的已付总金额日计累计</t>
  </si>
  <si>
    <t>属于新宁糖业的ZT系统的原料数据，按天所以来料的应付金额累计求和</t>
  </si>
  <si>
    <t>属于新宁糖业的应付款日计累计</t>
  </si>
  <si>
    <t>已付总金额/应付总金额金额*100%</t>
  </si>
  <si>
    <t>昭苏糖业</t>
  </si>
  <si>
    <t>（昭苏糖业日计运重-昭苏糖业日计净重）/昭苏糖业日计运重*100</t>
  </si>
  <si>
    <t>昭苏糖业日计运重从当期第一天开始累计求和</t>
  </si>
  <si>
    <t>（昭苏糖业累计运重-昭苏糖业累计净重）/昭苏糖业累计运重*100</t>
  </si>
  <si>
    <t>昭苏糖业收购总金额日计从第一天开始累计求和</t>
  </si>
  <si>
    <t>昭苏糖业收购总金额日计/昭苏糖业日计净重*10000</t>
  </si>
  <si>
    <t>昭苏糖业收购总金额累计/昭苏糖业累计净重*10000</t>
  </si>
  <si>
    <t>属于昭苏糖业的ZT系统的原料数据，按天已结算状态的应付金额累计求和</t>
  </si>
  <si>
    <t>属于昭苏糖业的已付总金额日计累计</t>
  </si>
  <si>
    <t>属于昭苏糖业的ZT系统的原料数据，按天所以来料的应付金额累计求和</t>
  </si>
  <si>
    <t>属于昭苏糖业的应付款日计累计</t>
  </si>
  <si>
    <t>合计</t>
  </si>
  <si>
    <t>新宁糖业日计运重+昭苏糖业日计运重</t>
  </si>
  <si>
    <t>新宁糖业日计净重+昭苏糖业日计净重</t>
  </si>
  <si>
    <t>（合计日计运重-合计日计净重）/合计日计运重*100</t>
  </si>
  <si>
    <t>新宁糖业累计运重+昭苏糖业累计运重</t>
  </si>
  <si>
    <t>新宁糖业累计净重+昭苏糖业累计净重</t>
  </si>
  <si>
    <t>（合计累计运重-合计累计净重）/合计累计运重*100</t>
  </si>
  <si>
    <t>新宁糖业收购总金额日计+昭苏糖业收购总金额日记</t>
  </si>
  <si>
    <t>新宁糖业收购总金额累计+昭苏糖业收购总金额累记</t>
  </si>
  <si>
    <t>合计收购总金额日计/合计日计净重*10000</t>
  </si>
  <si>
    <t>合计收购总金额累计/合计累计净重*10000</t>
  </si>
  <si>
    <t>新宁糖业已付总金额日计+昭苏糖业已付总金额日计</t>
  </si>
  <si>
    <t>新宁糖业已付总金额累计+昭苏糖业已付总金额累计</t>
  </si>
  <si>
    <t>新宁糖业应付款日计+昭苏糖业应付款日计</t>
  </si>
  <si>
    <t>新宁糖业应付款累计+昭苏糖业应付款累计</t>
  </si>
  <si>
    <t>ZT系统数据数据错误修改后是否会同步给mes</t>
  </si>
  <si>
    <t>新榨产品发运日报</t>
  </si>
  <si>
    <t>新榨产品发运</t>
  </si>
  <si>
    <t>累计</t>
  </si>
  <si>
    <t>库存</t>
  </si>
  <si>
    <t>糖发运</t>
  </si>
  <si>
    <t>普通优级累计+伊利累计+蒙牛累计+30kg 累计+一级累计</t>
  </si>
  <si>
    <t>普通优级库存+伊利库存+蒙牛库存+30kg 库存+一级库存</t>
  </si>
  <si>
    <t>普通优级</t>
  </si>
  <si>
    <t>人工填报</t>
  </si>
  <si>
    <t>从当期第一天开始普通优级日计累计求和</t>
  </si>
  <si>
    <t>综合日报中的生产的普通优级糖累计 - 新榨产品发运普通优级的累计</t>
  </si>
  <si>
    <t>伊利</t>
  </si>
  <si>
    <t>从当期第一天开始伊利日计累计求和</t>
  </si>
  <si>
    <t>综合日报中的生产的伊利标准（亚盐≤0.8）累计 - 新榨产品发运伊利的累计</t>
  </si>
  <si>
    <t>蒙牛</t>
  </si>
  <si>
    <t>从当期第一天开始蒙牛日计累计求和</t>
  </si>
  <si>
    <t>综合日报中的生产的蒙牛标准（亚盐1-2）累计 - 新榨产品发运伊利的累计</t>
  </si>
  <si>
    <t xml:space="preserve">30kg </t>
  </si>
  <si>
    <t>从当期第一天开始30kg 日计累计求和</t>
  </si>
  <si>
    <t>综合日报中的生产的白砂糖30kg累计 - 新榨产品发运的30kg累计</t>
  </si>
  <si>
    <t>一级</t>
  </si>
  <si>
    <t>从当期第一天开始一级日记累计求和</t>
  </si>
  <si>
    <t>综合日报中的生产的白砂糖一级累计 -新榨产品发运的一级累计</t>
  </si>
  <si>
    <t>糖蜜</t>
  </si>
  <si>
    <t>从当期第一天开始糖蜜日计累计求和</t>
  </si>
  <si>
    <t>综合日报中的生产的商品蜜产量（锤度76%)累计 - 新榨产品发运的糖蜜累计</t>
  </si>
  <si>
    <t>总颗粒粕</t>
  </si>
  <si>
    <t>普通颗粒粕日计+加蜜颗粒粕日计</t>
  </si>
  <si>
    <t>普通颗粒粕累计+加蜜颗粒粕累计</t>
  </si>
  <si>
    <t>普通颗粒粕库存+加蜜颗粒粕库存</t>
  </si>
  <si>
    <t>普通颗粒粕</t>
  </si>
  <si>
    <t>从当期第一天开始普通颗粒粕日计累计求和</t>
  </si>
  <si>
    <t>综合日报中的生产的普通颗粒粕产量累计 - 新榨产品发运的普通颗粒粕累计</t>
  </si>
  <si>
    <t>加蜜颗粒粕</t>
  </si>
  <si>
    <t>从当期第一天开始加蜜颗粒粕日计累计求和</t>
  </si>
  <si>
    <t>综合日报中的生产的加蜜颗粒粕产量累计 - 新榨产品发运的加蜜颗粒粕累计</t>
  </si>
  <si>
    <t>新宁：第31天</t>
  </si>
  <si>
    <t>昭苏</t>
  </si>
  <si>
    <t>-</t>
  </si>
  <si>
    <t>备注：1.新宁糖业2025年10月3日11:56分开机下菜，10月4日4:30分出糖。</t>
  </si>
  <si>
    <t>优级糖发运</t>
  </si>
  <si>
    <t>颗粒粕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</si>
</sst>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178" formatCode="0.00_);[Red]\(0.00\)"/>
    <numFmt numFmtId="179" formatCode="0.000000"/>
    <numFmt numFmtId="180" formatCode="0.00000_ "/>
    <numFmt numFmtId="181" formatCode="0_ "/>
    <numFmt numFmtId="182" formatCode="0.00_ "/>
    <numFmt numFmtId="183" formatCode="0.0_);[Red]\(0.0\)"/>
    <numFmt numFmtId="184" formatCode="0.000000_ "/>
    <numFmt numFmtId="185" formatCode="0_);[Red]\(0\)"/>
    <numFmt numFmtId="186" formatCode="0.0_ "/>
    <numFmt numFmtId="187" formatCode="0.000_ "/>
    <numFmt numFmtId="188" formatCode="0.00000000_ "/>
    <numFmt numFmtId="189" formatCode="0.0000_ "/>
  </numFmts>
  <fonts count="27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sz val="10"/>
      <name val="宋体"/>
      <charset val="134"/>
    </font>
    <font>
      <sz val="10"/>
      <color theme="1"/>
      <name val="宋体"/>
      <charset val="134"/>
    </font>
    <font>
      <b/>
      <sz val="14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sz val="10"/>
      <color indexed="8"/>
      <name val="微软雅黑"/>
      <charset val="134"/>
    </font>
    <font>
      <sz val="10"/>
      <color theme="1"/>
      <name val="微软雅黑"/>
      <charset val="134"/>
    </font>
    <font>
      <sz val="10"/>
      <name val="黑体"/>
      <charset val="134"/>
    </font>
    <font>
      <sz val="10"/>
      <color rgb="FFFF0000"/>
      <name val="宋体"/>
      <charset val="134"/>
      <scheme val="minor"/>
    </font>
    <font>
      <b/>
      <sz val="10"/>
      <name val="黑体"/>
      <charset val="134"/>
    </font>
    <font>
      <sz val="10"/>
      <color rgb="FF000000"/>
      <name val="微软雅黑"/>
      <charset val="134"/>
    </font>
    <font>
      <sz val="18"/>
      <color theme="1"/>
      <name val="微软雅黑"/>
      <charset val="134"/>
    </font>
    <font>
      <sz val="11"/>
      <name val="微软雅黑"/>
      <charset val="134"/>
    </font>
    <font>
      <sz val="11"/>
      <color theme="9" tint="-0.249977111117893"/>
      <name val="宋体"/>
      <charset val="134"/>
      <scheme val="minor"/>
    </font>
    <font>
      <sz val="11"/>
      <name val="宋体"/>
      <charset val="134"/>
      <scheme val="minor"/>
    </font>
    <font>
      <sz val="10"/>
      <color rgb="FF000000"/>
      <name val="宋体"/>
      <charset val="134"/>
    </font>
    <font>
      <sz val="18"/>
      <color rgb="FF000000"/>
      <name val="微软雅黑"/>
      <charset val="134"/>
    </font>
    <font>
      <sz val="11"/>
      <color theme="1"/>
      <name val="微软雅黑"/>
      <charset val="134"/>
    </font>
    <font>
      <sz val="10"/>
      <color rgb="FFFF0000"/>
      <name val="宋体"/>
      <charset val="134"/>
    </font>
    <font>
      <sz val="10"/>
      <color rgb="FFFF0000"/>
      <name val="微软雅黑"/>
      <charset val="134"/>
    </font>
    <font>
      <sz val="11"/>
      <color theme="1"/>
      <name val="宋体"/>
      <charset val="134"/>
      <scheme val="minor"/>
    </font>
    <font>
      <sz val="9"/>
      <name val="宋体"/>
      <charset val="134"/>
    </font>
    <font>
      <b/>
      <sz val="9"/>
      <name val="宋体"/>
      <charset val="134"/>
    </font>
    <font>
      <sz val="9"/>
      <name val="宋体"/>
      <charset val="134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26B0A"/>
        <bgColor indexed="64"/>
      </patternFill>
    </fill>
    <fill>
      <patternFill patternType="solid">
        <fgColor theme="3" tint="0.79961546678060247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6" tint="0.39960936307870726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9" fontId="23" fillId="0" borderId="0" applyFont="0" applyFill="0" applyBorder="0" applyAlignment="0" applyProtection="0">
      <alignment vertical="center"/>
    </xf>
  </cellStyleXfs>
  <cellXfs count="23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178" fontId="3" fillId="0" borderId="0" xfId="0" applyNumberFormat="1" applyFont="1" applyFill="1" applyAlignment="1"/>
    <xf numFmtId="178" fontId="4" fillId="0" borderId="0" xfId="0" applyNumberFormat="1" applyFont="1" applyFill="1" applyAlignment="1"/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right" vertical="center"/>
    </xf>
    <xf numFmtId="178" fontId="7" fillId="0" borderId="5" xfId="0" applyNumberFormat="1" applyFont="1" applyFill="1" applyBorder="1" applyAlignment="1">
      <alignment horizontal="center" vertical="center" wrapText="1"/>
    </xf>
    <xf numFmtId="178" fontId="7" fillId="0" borderId="5" xfId="0" applyNumberFormat="1" applyFont="1" applyFill="1" applyBorder="1" applyAlignment="1">
      <alignment horizontal="center" vertical="center"/>
    </xf>
    <xf numFmtId="178" fontId="8" fillId="2" borderId="5" xfId="0" applyNumberFormat="1" applyFont="1" applyFill="1" applyBorder="1" applyAlignment="1">
      <alignment horizontal="left" vertical="center"/>
    </xf>
    <xf numFmtId="2" fontId="1" fillId="0" borderId="5" xfId="0" applyNumberFormat="1" applyFont="1" applyFill="1" applyBorder="1" applyAlignment="1">
      <alignment horizontal="right" vertical="center"/>
    </xf>
    <xf numFmtId="179" fontId="1" fillId="0" borderId="5" xfId="0" applyNumberFormat="1" applyFont="1" applyFill="1" applyBorder="1" applyAlignment="1">
      <alignment horizontal="right" vertical="center"/>
    </xf>
    <xf numFmtId="0" fontId="2" fillId="0" borderId="5" xfId="0" applyFont="1" applyFill="1" applyBorder="1" applyAlignment="1">
      <alignment vertical="center"/>
    </xf>
    <xf numFmtId="0" fontId="2" fillId="0" borderId="5" xfId="0" applyFont="1" applyFill="1" applyBorder="1" applyAlignment="1">
      <alignment horizontal="center" vertical="center"/>
    </xf>
    <xf numFmtId="178" fontId="8" fillId="2" borderId="5" xfId="0" applyNumberFormat="1" applyFont="1" applyFill="1" applyBorder="1" applyAlignment="1">
      <alignment horizontal="center" vertical="center"/>
    </xf>
    <xf numFmtId="178" fontId="9" fillId="2" borderId="5" xfId="0" applyNumberFormat="1" applyFont="1" applyFill="1" applyBorder="1" applyAlignment="1">
      <alignment vertical="center"/>
    </xf>
    <xf numFmtId="178" fontId="7" fillId="2" borderId="5" xfId="0" applyNumberFormat="1" applyFont="1" applyFill="1" applyBorder="1" applyAlignment="1">
      <alignment vertical="center"/>
    </xf>
    <xf numFmtId="180" fontId="1" fillId="0" borderId="0" xfId="0" applyNumberFormat="1" applyFont="1" applyFill="1" applyAlignment="1">
      <alignment vertical="center"/>
    </xf>
    <xf numFmtId="178" fontId="7" fillId="3" borderId="5" xfId="0" applyNumberFormat="1" applyFont="1" applyFill="1" applyBorder="1" applyAlignment="1">
      <alignment horizontal="left" vertical="center"/>
    </xf>
    <xf numFmtId="0" fontId="1" fillId="0" borderId="5" xfId="0" applyFont="1" applyFill="1" applyBorder="1" applyAlignment="1">
      <alignment horizontal="right" vertical="center"/>
    </xf>
    <xf numFmtId="0" fontId="10" fillId="0" borderId="5" xfId="0" applyFont="1" applyFill="1" applyBorder="1" applyAlignment="1">
      <alignment horizontal="center" vertical="center" wrapText="1"/>
    </xf>
    <xf numFmtId="181" fontId="10" fillId="0" borderId="5" xfId="0" applyNumberFormat="1" applyFont="1" applyFill="1" applyBorder="1" applyAlignment="1">
      <alignment horizontal="center" vertical="center" wrapText="1"/>
    </xf>
    <xf numFmtId="182" fontId="2" fillId="0" borderId="5" xfId="0" applyNumberFormat="1" applyFont="1" applyFill="1" applyBorder="1" applyAlignment="1">
      <alignment vertical="center"/>
    </xf>
    <xf numFmtId="180" fontId="11" fillId="0" borderId="0" xfId="0" applyNumberFormat="1" applyFont="1" applyFill="1" applyAlignment="1">
      <alignment vertical="center"/>
    </xf>
    <xf numFmtId="178" fontId="8" fillId="3" borderId="5" xfId="0" applyNumberFormat="1" applyFont="1" applyFill="1" applyBorder="1" applyAlignment="1">
      <alignment horizontal="center" vertical="center"/>
    </xf>
    <xf numFmtId="178" fontId="9" fillId="3" borderId="5" xfId="0" applyNumberFormat="1" applyFont="1" applyFill="1" applyBorder="1" applyAlignment="1">
      <alignment vertical="center"/>
    </xf>
    <xf numFmtId="183" fontId="9" fillId="0" borderId="5" xfId="0" applyNumberFormat="1" applyFont="1" applyFill="1" applyBorder="1" applyAlignment="1">
      <alignment horizontal="left" vertical="center"/>
    </xf>
    <xf numFmtId="180" fontId="2" fillId="0" borderId="0" xfId="0" applyNumberFormat="1" applyFont="1" applyFill="1" applyAlignment="1">
      <alignment vertical="center"/>
    </xf>
    <xf numFmtId="178" fontId="9" fillId="0" borderId="5" xfId="0" applyNumberFormat="1" applyFont="1" applyFill="1" applyBorder="1" applyAlignment="1">
      <alignment vertical="center"/>
    </xf>
    <xf numFmtId="184" fontId="1" fillId="0" borderId="0" xfId="0" applyNumberFormat="1" applyFont="1" applyFill="1" applyAlignment="1">
      <alignment vertical="center"/>
    </xf>
    <xf numFmtId="185" fontId="9" fillId="0" borderId="5" xfId="0" applyNumberFormat="1" applyFont="1" applyFill="1" applyBorder="1" applyAlignment="1">
      <alignment horizontal="left" vertical="center"/>
    </xf>
    <xf numFmtId="186" fontId="1" fillId="0" borderId="5" xfId="0" applyNumberFormat="1" applyFont="1" applyFill="1" applyBorder="1" applyAlignment="1">
      <alignment horizontal="right" vertical="center"/>
    </xf>
    <xf numFmtId="184" fontId="1" fillId="0" borderId="4" xfId="0" applyNumberFormat="1" applyFont="1" applyFill="1" applyBorder="1" applyAlignment="1">
      <alignment horizontal="right" vertical="center"/>
    </xf>
    <xf numFmtId="0" fontId="12" fillId="4" borderId="4" xfId="0" applyFont="1" applyFill="1" applyBorder="1" applyAlignment="1">
      <alignment horizontal="center" vertical="center" wrapText="1"/>
    </xf>
    <xf numFmtId="181" fontId="10" fillId="4" borderId="5" xfId="0" applyNumberFormat="1" applyFont="1" applyFill="1" applyBorder="1" applyAlignment="1">
      <alignment horizontal="center" vertical="center" wrapText="1"/>
    </xf>
    <xf numFmtId="0" fontId="11" fillId="0" borderId="0" xfId="0" applyFont="1" applyFill="1" applyAlignment="1">
      <alignment vertical="center"/>
    </xf>
    <xf numFmtId="180" fontId="2" fillId="5" borderId="0" xfId="0" applyNumberFormat="1" applyFont="1" applyFill="1" applyAlignment="1">
      <alignment vertical="center"/>
    </xf>
    <xf numFmtId="181" fontId="1" fillId="0" borderId="0" xfId="0" applyNumberFormat="1" applyFont="1" applyFill="1" applyAlignment="1">
      <alignment vertical="center"/>
    </xf>
    <xf numFmtId="178" fontId="8" fillId="6" borderId="5" xfId="0" applyNumberFormat="1" applyFont="1" applyFill="1" applyBorder="1" applyAlignment="1">
      <alignment vertical="center" wrapText="1"/>
    </xf>
    <xf numFmtId="178" fontId="8" fillId="6" borderId="5" xfId="0" applyNumberFormat="1" applyFont="1" applyFill="1" applyBorder="1" applyAlignment="1">
      <alignment horizontal="center" vertical="center"/>
    </xf>
    <xf numFmtId="178" fontId="9" fillId="6" borderId="5" xfId="0" applyNumberFormat="1" applyFont="1" applyFill="1" applyBorder="1" applyAlignment="1">
      <alignment horizontal="right" vertical="center"/>
    </xf>
    <xf numFmtId="178" fontId="8" fillId="0" borderId="5" xfId="0" applyNumberFormat="1" applyFont="1" applyFill="1" applyBorder="1" applyAlignment="1">
      <alignment vertical="center" wrapText="1"/>
    </xf>
    <xf numFmtId="2" fontId="1" fillId="0" borderId="0" xfId="0" applyNumberFormat="1" applyFont="1" applyFill="1" applyAlignment="1">
      <alignment horizontal="right" vertical="center"/>
    </xf>
    <xf numFmtId="178" fontId="8" fillId="2" borderId="5" xfId="0" applyNumberFormat="1" applyFont="1" applyFill="1" applyBorder="1" applyAlignment="1">
      <alignment vertical="center" wrapText="1"/>
    </xf>
    <xf numFmtId="178" fontId="9" fillId="2" borderId="5" xfId="0" applyNumberFormat="1" applyFont="1" applyFill="1" applyBorder="1" applyAlignment="1">
      <alignment horizontal="right" vertical="center"/>
    </xf>
    <xf numFmtId="186" fontId="1" fillId="0" borderId="0" xfId="0" applyNumberFormat="1" applyFont="1" applyFill="1" applyAlignment="1">
      <alignment horizontal="center" vertical="center"/>
    </xf>
    <xf numFmtId="186" fontId="1" fillId="0" borderId="0" xfId="0" applyNumberFormat="1" applyFont="1" applyFill="1" applyAlignment="1">
      <alignment vertical="center"/>
    </xf>
    <xf numFmtId="178" fontId="9" fillId="0" borderId="5" xfId="0" applyNumberFormat="1" applyFont="1" applyFill="1" applyBorder="1" applyAlignment="1">
      <alignment horizontal="right" vertical="center"/>
    </xf>
    <xf numFmtId="178" fontId="7" fillId="0" borderId="5" xfId="0" applyNumberFormat="1" applyFont="1" applyFill="1" applyBorder="1" applyAlignment="1">
      <alignment vertical="center" wrapText="1"/>
    </xf>
    <xf numFmtId="0" fontId="1" fillId="0" borderId="5" xfId="0" applyFont="1" applyFill="1" applyBorder="1" applyAlignment="1">
      <alignment horizontal="right"/>
    </xf>
    <xf numFmtId="0" fontId="1" fillId="0" borderId="0" xfId="0" applyFont="1" applyFill="1" applyAlignment="1">
      <alignment horizontal="right"/>
    </xf>
    <xf numFmtId="0" fontId="1" fillId="0" borderId="0" xfId="0" applyFont="1" applyFill="1" applyAlignment="1">
      <alignment horizontal="center"/>
    </xf>
    <xf numFmtId="178" fontId="1" fillId="0" borderId="0" xfId="0" applyNumberFormat="1" applyFont="1" applyFill="1" applyAlignment="1">
      <alignment horizontal="center" vertical="center"/>
    </xf>
    <xf numFmtId="182" fontId="1" fillId="0" borderId="0" xfId="0" applyNumberFormat="1" applyFont="1" applyFill="1" applyAlignment="1">
      <alignment horizontal="center"/>
    </xf>
    <xf numFmtId="182" fontId="1" fillId="0" borderId="0" xfId="0" applyNumberFormat="1" applyFont="1" applyFill="1" applyAlignment="1">
      <alignment vertical="center"/>
    </xf>
    <xf numFmtId="178" fontId="7" fillId="7" borderId="5" xfId="0" applyNumberFormat="1" applyFont="1" applyFill="1" applyBorder="1" applyAlignment="1">
      <alignment vertical="center" wrapText="1"/>
    </xf>
    <xf numFmtId="178" fontId="7" fillId="7" borderId="5" xfId="0" applyNumberFormat="1" applyFont="1" applyFill="1" applyBorder="1" applyAlignment="1">
      <alignment horizontal="center" vertical="center"/>
    </xf>
    <xf numFmtId="178" fontId="7" fillId="8" borderId="5" xfId="0" applyNumberFormat="1" applyFont="1" applyFill="1" applyBorder="1" applyAlignment="1">
      <alignment vertical="center"/>
    </xf>
    <xf numFmtId="181" fontId="1" fillId="0" borderId="0" xfId="0" applyNumberFormat="1" applyFont="1" applyFill="1" applyAlignment="1">
      <alignment horizontal="center"/>
    </xf>
    <xf numFmtId="178" fontId="7" fillId="0" borderId="5" xfId="0" applyNumberFormat="1" applyFont="1" applyFill="1" applyBorder="1" applyAlignment="1">
      <alignment horizontal="right" vertical="center"/>
    </xf>
    <xf numFmtId="181" fontId="2" fillId="0" borderId="0" xfId="0" applyNumberFormat="1" applyFont="1" applyFill="1" applyAlignment="1">
      <alignment vertical="center"/>
    </xf>
    <xf numFmtId="184" fontId="2" fillId="0" borderId="0" xfId="0" applyNumberFormat="1" applyFont="1" applyFill="1" applyAlignment="1">
      <alignment vertical="center"/>
    </xf>
    <xf numFmtId="182" fontId="2" fillId="0" borderId="0" xfId="0" applyNumberFormat="1" applyFont="1" applyFill="1" applyAlignment="1">
      <alignment horizontal="center"/>
    </xf>
    <xf numFmtId="178" fontId="7" fillId="6" borderId="5" xfId="0" applyNumberFormat="1" applyFont="1" applyFill="1" applyBorder="1" applyAlignment="1">
      <alignment vertical="center" wrapText="1"/>
    </xf>
    <xf numFmtId="178" fontId="7" fillId="6" borderId="5" xfId="0" applyNumberFormat="1" applyFont="1" applyFill="1" applyBorder="1" applyAlignment="1">
      <alignment horizontal="center" vertical="center"/>
    </xf>
    <xf numFmtId="178" fontId="7" fillId="6" borderId="5" xfId="0" applyNumberFormat="1" applyFont="1" applyFill="1" applyBorder="1" applyAlignment="1">
      <alignment horizontal="right" vertical="center"/>
    </xf>
    <xf numFmtId="187" fontId="2" fillId="0" borderId="0" xfId="0" applyNumberFormat="1" applyFont="1" applyFill="1" applyAlignment="1">
      <alignment vertical="center"/>
    </xf>
    <xf numFmtId="181" fontId="2" fillId="0" borderId="0" xfId="0" applyNumberFormat="1" applyFont="1" applyFill="1" applyAlignment="1">
      <alignment horizontal="center" vertical="center"/>
    </xf>
    <xf numFmtId="182" fontId="2" fillId="0" borderId="0" xfId="0" applyNumberFormat="1" applyFont="1" applyFill="1" applyAlignment="1">
      <alignment horizontal="center" vertical="center"/>
    </xf>
    <xf numFmtId="178" fontId="7" fillId="2" borderId="5" xfId="0" applyNumberFormat="1" applyFont="1" applyFill="1" applyBorder="1" applyAlignment="1">
      <alignment vertical="center" wrapText="1"/>
    </xf>
    <xf numFmtId="178" fontId="7" fillId="2" borderId="5" xfId="0" applyNumberFormat="1" applyFont="1" applyFill="1" applyBorder="1" applyAlignment="1">
      <alignment horizontal="center" vertical="center"/>
    </xf>
    <xf numFmtId="188" fontId="1" fillId="0" borderId="0" xfId="0" applyNumberFormat="1" applyFont="1" applyFill="1" applyAlignment="1">
      <alignment vertical="center"/>
    </xf>
    <xf numFmtId="187" fontId="1" fillId="0" borderId="0" xfId="0" applyNumberFormat="1" applyFont="1" applyFill="1" applyAlignment="1">
      <alignment vertical="center"/>
    </xf>
    <xf numFmtId="181" fontId="1" fillId="0" borderId="0" xfId="0" applyNumberFormat="1" applyFont="1" applyFill="1" applyAlignment="1">
      <alignment horizontal="center" vertical="center"/>
    </xf>
    <xf numFmtId="178" fontId="8" fillId="9" borderId="5" xfId="0" applyNumberFormat="1" applyFont="1" applyFill="1" applyBorder="1" applyAlignment="1">
      <alignment vertical="center" wrapText="1"/>
    </xf>
    <xf numFmtId="178" fontId="7" fillId="9" borderId="5" xfId="0" applyNumberFormat="1" applyFont="1" applyFill="1" applyBorder="1" applyAlignment="1">
      <alignment horizontal="center" vertical="center"/>
    </xf>
    <xf numFmtId="178" fontId="9" fillId="9" borderId="5" xfId="0" applyNumberFormat="1" applyFont="1" applyFill="1" applyBorder="1" applyAlignment="1">
      <alignment horizontal="right" vertical="center"/>
    </xf>
    <xf numFmtId="178" fontId="7" fillId="10" borderId="5" xfId="0" applyNumberFormat="1" applyFont="1" applyFill="1" applyBorder="1" applyAlignment="1">
      <alignment vertical="center" wrapText="1"/>
    </xf>
    <xf numFmtId="178" fontId="7" fillId="10" borderId="5" xfId="0" applyNumberFormat="1" applyFont="1" applyFill="1" applyBorder="1" applyAlignment="1">
      <alignment horizontal="center" vertical="center"/>
    </xf>
    <xf numFmtId="178" fontId="7" fillId="10" borderId="5" xfId="0" applyNumberFormat="1" applyFont="1" applyFill="1" applyBorder="1" applyAlignment="1">
      <alignment horizontal="right" vertical="center"/>
    </xf>
    <xf numFmtId="178" fontId="1" fillId="0" borderId="0" xfId="0" applyNumberFormat="1" applyFont="1" applyFill="1" applyAlignment="1">
      <alignment vertical="center"/>
    </xf>
    <xf numFmtId="182" fontId="1" fillId="0" borderId="0" xfId="0" applyNumberFormat="1" applyFont="1" applyFill="1" applyAlignment="1">
      <alignment horizontal="center" vertical="center"/>
    </xf>
    <xf numFmtId="178" fontId="9" fillId="10" borderId="5" xfId="0" applyNumberFormat="1" applyFont="1" applyFill="1" applyBorder="1" applyAlignment="1">
      <alignment horizontal="right" vertical="center"/>
    </xf>
    <xf numFmtId="178" fontId="4" fillId="0" borderId="5" xfId="0" applyNumberFormat="1" applyFont="1" applyFill="1" applyBorder="1" applyAlignment="1"/>
    <xf numFmtId="178" fontId="7" fillId="10" borderId="5" xfId="1" applyNumberFormat="1" applyFont="1" applyFill="1" applyBorder="1" applyAlignment="1">
      <alignment horizontal="right" vertical="center"/>
    </xf>
    <xf numFmtId="178" fontId="7" fillId="11" borderId="5" xfId="0" applyNumberFormat="1" applyFont="1" applyFill="1" applyBorder="1" applyAlignment="1">
      <alignment vertical="center" wrapText="1"/>
    </xf>
    <xf numFmtId="178" fontId="7" fillId="11" borderId="5" xfId="0" applyNumberFormat="1" applyFont="1" applyFill="1" applyBorder="1" applyAlignment="1">
      <alignment horizontal="center" vertical="center"/>
    </xf>
    <xf numFmtId="178" fontId="13" fillId="12" borderId="5" xfId="1" applyNumberFormat="1" applyFont="1" applyFill="1" applyBorder="1" applyAlignment="1">
      <alignment horizontal="right" vertical="center"/>
    </xf>
    <xf numFmtId="189" fontId="1" fillId="0" borderId="0" xfId="0" applyNumberFormat="1" applyFont="1" applyFill="1" applyAlignment="1">
      <alignment vertical="center"/>
    </xf>
    <xf numFmtId="189" fontId="1" fillId="0" borderId="0" xfId="0" applyNumberFormat="1" applyFont="1" applyFill="1" applyAlignment="1">
      <alignment horizontal="center" vertical="center"/>
    </xf>
    <xf numFmtId="178" fontId="9" fillId="10" borderId="5" xfId="0" applyNumberFormat="1" applyFont="1" applyFill="1" applyBorder="1" applyAlignment="1">
      <alignment vertical="center"/>
    </xf>
    <xf numFmtId="178" fontId="13" fillId="10" borderId="5" xfId="1" applyNumberFormat="1" applyFont="1" applyFill="1" applyBorder="1" applyAlignment="1">
      <alignment horizontal="right" vertical="center"/>
    </xf>
    <xf numFmtId="178" fontId="7" fillId="9" borderId="5" xfId="0" applyNumberFormat="1" applyFont="1" applyFill="1" applyBorder="1" applyAlignment="1">
      <alignment vertical="center" wrapText="1"/>
    </xf>
    <xf numFmtId="178" fontId="9" fillId="11" borderId="5" xfId="0" applyNumberFormat="1" applyFont="1" applyFill="1" applyBorder="1" applyAlignment="1">
      <alignment vertical="center"/>
    </xf>
    <xf numFmtId="178" fontId="7" fillId="13" borderId="5" xfId="0" applyNumberFormat="1" applyFont="1" applyFill="1" applyBorder="1" applyAlignment="1">
      <alignment vertical="center" wrapText="1"/>
    </xf>
    <xf numFmtId="178" fontId="7" fillId="14" borderId="5" xfId="0" applyNumberFormat="1" applyFont="1" applyFill="1" applyBorder="1" applyAlignment="1">
      <alignment vertical="center" wrapText="1"/>
    </xf>
    <xf numFmtId="178" fontId="7" fillId="14" borderId="5" xfId="0" applyNumberFormat="1" applyFont="1" applyFill="1" applyBorder="1" applyAlignment="1">
      <alignment horizontal="center" vertical="center"/>
    </xf>
    <xf numFmtId="178" fontId="7" fillId="14" borderId="5" xfId="0" applyNumberFormat="1" applyFont="1" applyFill="1" applyBorder="1" applyAlignment="1">
      <alignment vertical="center"/>
    </xf>
    <xf numFmtId="178" fontId="7" fillId="0" borderId="5" xfId="0" applyNumberFormat="1" applyFont="1" applyFill="1" applyBorder="1" applyAlignment="1">
      <alignment vertical="center"/>
    </xf>
    <xf numFmtId="178" fontId="7" fillId="15" borderId="5" xfId="0" applyNumberFormat="1" applyFont="1" applyFill="1" applyBorder="1" applyAlignment="1">
      <alignment vertical="center" wrapText="1"/>
    </xf>
    <xf numFmtId="178" fontId="7" fillId="15" borderId="4" xfId="0" applyNumberFormat="1" applyFont="1" applyFill="1" applyBorder="1" applyAlignment="1">
      <alignment horizontal="center" vertical="center"/>
    </xf>
    <xf numFmtId="178" fontId="7" fillId="15" borderId="5" xfId="0" applyNumberFormat="1" applyFont="1" applyFill="1" applyBorder="1" applyAlignment="1">
      <alignment vertical="center"/>
    </xf>
    <xf numFmtId="178" fontId="7" fillId="2" borderId="4" xfId="0" applyNumberFormat="1" applyFont="1" applyFill="1" applyBorder="1" applyAlignment="1">
      <alignment horizontal="center" vertical="center"/>
    </xf>
    <xf numFmtId="178" fontId="9" fillId="2" borderId="5" xfId="0" applyNumberFormat="1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8" fontId="9" fillId="13" borderId="5" xfId="0" applyNumberFormat="1" applyFont="1" applyFill="1" applyBorder="1" applyAlignment="1">
      <alignment horizontal="center" vertical="center"/>
    </xf>
    <xf numFmtId="178" fontId="9" fillId="13" borderId="5" xfId="0" applyNumberFormat="1" applyFont="1" applyFill="1" applyBorder="1" applyAlignment="1">
      <alignment vertical="center"/>
    </xf>
    <xf numFmtId="0" fontId="9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178" fontId="9" fillId="0" borderId="5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178" fontId="7" fillId="16" borderId="5" xfId="0" applyNumberFormat="1" applyFont="1" applyFill="1" applyBorder="1" applyAlignment="1">
      <alignment vertical="center"/>
    </xf>
    <xf numFmtId="178" fontId="7" fillId="16" borderId="4" xfId="0" applyNumberFormat="1" applyFont="1" applyFill="1" applyBorder="1" applyAlignment="1">
      <alignment horizontal="center" vertical="center"/>
    </xf>
    <xf numFmtId="178" fontId="9" fillId="16" borderId="5" xfId="0" applyNumberFormat="1" applyFont="1" applyFill="1" applyBorder="1" applyAlignment="1">
      <alignment horizontal="center" vertical="center"/>
    </xf>
    <xf numFmtId="178" fontId="9" fillId="16" borderId="5" xfId="0" applyNumberFormat="1" applyFont="1" applyFill="1" applyBorder="1" applyAlignment="1">
      <alignment vertical="center"/>
    </xf>
    <xf numFmtId="178" fontId="7" fillId="16" borderId="5" xfId="0" applyNumberFormat="1" applyFont="1" applyFill="1" applyBorder="1" applyAlignment="1">
      <alignment vertical="center" wrapText="1"/>
    </xf>
    <xf numFmtId="178" fontId="3" fillId="0" borderId="5" xfId="0" applyNumberFormat="1" applyFont="1" applyFill="1" applyBorder="1" applyAlignment="1">
      <alignment horizontal="left" vertical="center"/>
    </xf>
    <xf numFmtId="0" fontId="9" fillId="0" borderId="4" xfId="0" applyFont="1" applyFill="1" applyBorder="1" applyAlignment="1">
      <alignment horizontal="center" vertical="center"/>
    </xf>
    <xf numFmtId="178" fontId="7" fillId="17" borderId="5" xfId="0" applyNumberFormat="1" applyFont="1" applyFill="1" applyBorder="1" applyAlignment="1">
      <alignment horizontal="center" vertical="center" wrapText="1"/>
    </xf>
    <xf numFmtId="178" fontId="3" fillId="17" borderId="5" xfId="0" applyNumberFormat="1" applyFont="1" applyFill="1" applyBorder="1" applyAlignment="1">
      <alignment horizontal="left" vertical="center"/>
    </xf>
    <xf numFmtId="178" fontId="7" fillId="17" borderId="4" xfId="0" applyNumberFormat="1" applyFont="1" applyFill="1" applyBorder="1" applyAlignment="1">
      <alignment horizontal="center" vertical="center" wrapText="1"/>
    </xf>
    <xf numFmtId="0" fontId="13" fillId="17" borderId="4" xfId="0" applyFont="1" applyFill="1" applyBorder="1" applyAlignment="1">
      <alignment horizontal="center" vertical="center"/>
    </xf>
    <xf numFmtId="178" fontId="7" fillId="17" borderId="4" xfId="0" applyNumberFormat="1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 wrapText="1"/>
    </xf>
    <xf numFmtId="0" fontId="15" fillId="0" borderId="5" xfId="0" applyFont="1" applyBorder="1" applyAlignment="1">
      <alignment vertical="center" wrapText="1"/>
    </xf>
    <xf numFmtId="0" fontId="16" fillId="0" borderId="0" xfId="0" applyFont="1">
      <alignment vertical="center"/>
    </xf>
    <xf numFmtId="178" fontId="7" fillId="5" borderId="4" xfId="0" applyNumberFormat="1" applyFont="1" applyFill="1" applyBorder="1" applyAlignment="1">
      <alignment horizontal="center" vertical="center" wrapText="1"/>
    </xf>
    <xf numFmtId="0" fontId="17" fillId="0" borderId="0" xfId="0" applyFont="1" applyFill="1">
      <alignment vertical="center"/>
    </xf>
    <xf numFmtId="0" fontId="0" fillId="0" borderId="0" xfId="0" applyAlignment="1">
      <alignment horizontal="center" vertical="center" wrapText="1"/>
    </xf>
    <xf numFmtId="0" fontId="18" fillId="0" borderId="0" xfId="0" applyFont="1" applyFill="1" applyAlignment="1">
      <alignment horizontal="center" vertical="center"/>
    </xf>
    <xf numFmtId="0" fontId="3" fillId="0" borderId="5" xfId="0" applyFont="1" applyFill="1" applyBorder="1" applyAlignment="1">
      <alignment horizontal="center" vertical="center" wrapText="1"/>
    </xf>
    <xf numFmtId="0" fontId="3" fillId="17" borderId="5" xfId="0" applyFont="1" applyFill="1" applyBorder="1" applyAlignment="1">
      <alignment horizontal="center" vertical="center" wrapText="1"/>
    </xf>
    <xf numFmtId="0" fontId="0" fillId="17" borderId="5" xfId="0" applyFill="1" applyBorder="1" applyAlignment="1">
      <alignment horizontal="center" vertical="center" wrapText="1"/>
    </xf>
    <xf numFmtId="0" fontId="10" fillId="17" borderId="5" xfId="0" applyFont="1" applyFill="1" applyBorder="1" applyAlignment="1">
      <alignment horizontal="center" vertical="center" wrapText="1"/>
    </xf>
    <xf numFmtId="181" fontId="7" fillId="5" borderId="5" xfId="0" applyNumberFormat="1" applyFont="1" applyFill="1" applyBorder="1" applyAlignment="1">
      <alignment horizontal="center" vertical="center" wrapText="1"/>
    </xf>
    <xf numFmtId="182" fontId="7" fillId="0" borderId="5" xfId="0" applyNumberFormat="1" applyFont="1" applyFill="1" applyBorder="1" applyAlignment="1">
      <alignment vertical="center" wrapText="1"/>
    </xf>
    <xf numFmtId="181" fontId="7" fillId="0" borderId="5" xfId="0" applyNumberFormat="1" applyFont="1" applyFill="1" applyBorder="1" applyAlignment="1">
      <alignment horizontal="center" vertical="center" wrapText="1"/>
    </xf>
    <xf numFmtId="0" fontId="17" fillId="18" borderId="5" xfId="0" applyFont="1" applyFill="1" applyBorder="1">
      <alignment vertical="center"/>
    </xf>
    <xf numFmtId="0" fontId="0" fillId="5" borderId="5" xfId="0" applyFill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5" xfId="0" applyBorder="1">
      <alignment vertical="center"/>
    </xf>
    <xf numFmtId="0" fontId="12" fillId="17" borderId="4" xfId="0" applyFont="1" applyFill="1" applyBorder="1" applyAlignment="1">
      <alignment horizontal="center" vertical="center" wrapText="1"/>
    </xf>
    <xf numFmtId="0" fontId="18" fillId="0" borderId="0" xfId="0" applyFont="1" applyFill="1" applyAlignment="1">
      <alignment vertical="center"/>
    </xf>
    <xf numFmtId="0" fontId="18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/>
    </xf>
    <xf numFmtId="178" fontId="18" fillId="0" borderId="0" xfId="0" applyNumberFormat="1" applyFont="1" applyFill="1" applyAlignment="1">
      <alignment horizontal="center" vertical="center" wrapText="1"/>
    </xf>
    <xf numFmtId="0" fontId="20" fillId="0" borderId="0" xfId="0" applyFont="1">
      <alignment vertical="center"/>
    </xf>
    <xf numFmtId="178" fontId="6" fillId="17" borderId="3" xfId="0" applyNumberFormat="1" applyFont="1" applyFill="1" applyBorder="1" applyAlignment="1">
      <alignment horizontal="center" vertical="center" wrapText="1"/>
    </xf>
    <xf numFmtId="178" fontId="6" fillId="17" borderId="4" xfId="0" applyNumberFormat="1" applyFont="1" applyFill="1" applyBorder="1" applyAlignment="1">
      <alignment horizontal="center" vertical="center" wrapText="1"/>
    </xf>
    <xf numFmtId="178" fontId="7" fillId="17" borderId="5" xfId="0" applyNumberFormat="1" applyFont="1" applyFill="1" applyBorder="1" applyAlignment="1">
      <alignment horizontal="center" vertical="center"/>
    </xf>
    <xf numFmtId="178" fontId="13" fillId="17" borderId="5" xfId="0" applyNumberFormat="1" applyFont="1" applyFill="1" applyBorder="1" applyAlignment="1">
      <alignment horizontal="left" vertical="center"/>
    </xf>
    <xf numFmtId="178" fontId="13" fillId="17" borderId="5" xfId="0" applyNumberFormat="1" applyFont="1" applyFill="1" applyBorder="1" applyAlignment="1">
      <alignment horizontal="center" vertical="center"/>
    </xf>
    <xf numFmtId="178" fontId="13" fillId="0" borderId="5" xfId="0" applyNumberFormat="1" applyFont="1" applyFill="1" applyBorder="1" applyAlignment="1">
      <alignment horizontal="center" vertical="center" wrapText="1"/>
    </xf>
    <xf numFmtId="180" fontId="21" fillId="0" borderId="0" xfId="0" applyNumberFormat="1" applyFont="1" applyFill="1" applyAlignment="1">
      <alignment vertical="center"/>
    </xf>
    <xf numFmtId="178" fontId="7" fillId="17" borderId="5" xfId="0" applyNumberFormat="1" applyFont="1" applyFill="1" applyBorder="1" applyAlignment="1">
      <alignment horizontal="left" vertical="center"/>
    </xf>
    <xf numFmtId="180" fontId="3" fillId="0" borderId="0" xfId="0" applyNumberFormat="1" applyFont="1" applyFill="1" applyAlignment="1">
      <alignment vertical="center"/>
    </xf>
    <xf numFmtId="183" fontId="22" fillId="17" borderId="5" xfId="0" applyNumberFormat="1" applyFont="1" applyFill="1" applyBorder="1" applyAlignment="1">
      <alignment horizontal="left" vertical="center"/>
    </xf>
    <xf numFmtId="178" fontId="22" fillId="0" borderId="5" xfId="0" applyNumberFormat="1" applyFont="1" applyFill="1" applyBorder="1" applyAlignment="1">
      <alignment horizontal="center" vertical="center" wrapText="1"/>
    </xf>
    <xf numFmtId="0" fontId="21" fillId="0" borderId="0" xfId="0" applyFont="1" applyFill="1" applyAlignment="1">
      <alignment vertical="center"/>
    </xf>
    <xf numFmtId="181" fontId="18" fillId="0" borderId="0" xfId="0" applyNumberFormat="1" applyFont="1" applyFill="1" applyAlignment="1">
      <alignment vertical="center"/>
    </xf>
    <xf numFmtId="178" fontId="13" fillId="17" borderId="5" xfId="0" applyNumberFormat="1" applyFont="1" applyFill="1" applyBorder="1" applyAlignment="1">
      <alignment vertical="center" wrapText="1"/>
    </xf>
    <xf numFmtId="0" fontId="13" fillId="18" borderId="0" xfId="0" applyFont="1" applyFill="1" applyAlignment="1">
      <alignment horizontal="center" vertical="center"/>
    </xf>
    <xf numFmtId="186" fontId="13" fillId="0" borderId="0" xfId="0" applyNumberFormat="1" applyFont="1" applyFill="1" applyAlignment="1">
      <alignment horizontal="center" vertical="center"/>
    </xf>
    <xf numFmtId="186" fontId="18" fillId="0" borderId="0" xfId="0" applyNumberFormat="1" applyFont="1" applyFill="1" applyAlignment="1">
      <alignment vertical="center"/>
    </xf>
    <xf numFmtId="185" fontId="13" fillId="17" borderId="5" xfId="0" applyNumberFormat="1" applyFont="1" applyFill="1" applyBorder="1" applyAlignment="1">
      <alignment horizontal="left" vertical="center" wrapText="1"/>
    </xf>
    <xf numFmtId="0" fontId="13" fillId="0" borderId="0" xfId="0" applyFont="1" applyFill="1" applyAlignment="1">
      <alignment horizontal="center" vertical="center" wrapText="1"/>
    </xf>
    <xf numFmtId="184" fontId="18" fillId="0" borderId="0" xfId="0" applyNumberFormat="1" applyFont="1" applyFill="1" applyAlignment="1">
      <alignment vertical="center" wrapText="1"/>
    </xf>
    <xf numFmtId="0" fontId="13" fillId="0" borderId="0" xfId="0" applyFont="1" applyFill="1" applyAlignment="1">
      <alignment horizontal="center" vertical="center"/>
    </xf>
    <xf numFmtId="185" fontId="7" fillId="17" borderId="5" xfId="0" applyNumberFormat="1" applyFont="1" applyFill="1" applyBorder="1" applyAlignment="1">
      <alignment horizontal="left" vertical="center"/>
    </xf>
    <xf numFmtId="0" fontId="13" fillId="0" borderId="0" xfId="0" applyFont="1" applyFill="1" applyAlignment="1">
      <alignment horizontal="center"/>
    </xf>
    <xf numFmtId="178" fontId="7" fillId="17" borderId="5" xfId="0" applyNumberFormat="1" applyFont="1" applyFill="1" applyBorder="1" applyAlignment="1">
      <alignment vertical="center" wrapText="1"/>
    </xf>
    <xf numFmtId="182" fontId="13" fillId="0" borderId="0" xfId="0" applyNumberFormat="1" applyFont="1" applyFill="1" applyAlignment="1">
      <alignment horizontal="center"/>
    </xf>
    <xf numFmtId="182" fontId="18" fillId="0" borderId="0" xfId="0" applyNumberFormat="1" applyFont="1" applyFill="1" applyAlignment="1">
      <alignment vertical="center"/>
    </xf>
    <xf numFmtId="181" fontId="13" fillId="0" borderId="0" xfId="0" applyNumberFormat="1" applyFont="1" applyFill="1" applyAlignment="1">
      <alignment horizontal="center"/>
    </xf>
    <xf numFmtId="184" fontId="18" fillId="0" borderId="0" xfId="0" applyNumberFormat="1" applyFont="1" applyFill="1" applyAlignment="1">
      <alignment vertical="center"/>
    </xf>
    <xf numFmtId="178" fontId="22" fillId="17" borderId="5" xfId="0" applyNumberFormat="1" applyFont="1" applyFill="1" applyBorder="1" applyAlignment="1">
      <alignment vertical="center" wrapText="1"/>
    </xf>
    <xf numFmtId="182" fontId="7" fillId="0" borderId="0" xfId="0" applyNumberFormat="1" applyFont="1" applyFill="1" applyAlignment="1">
      <alignment horizontal="center"/>
    </xf>
    <xf numFmtId="182" fontId="3" fillId="0" borderId="0" xfId="0" applyNumberFormat="1" applyFont="1" applyFill="1" applyAlignment="1">
      <alignment horizontal="center"/>
    </xf>
    <xf numFmtId="181" fontId="3" fillId="0" borderId="0" xfId="0" applyNumberFormat="1" applyFont="1" applyFill="1" applyAlignment="1">
      <alignment vertical="center"/>
    </xf>
    <xf numFmtId="184" fontId="3" fillId="0" borderId="0" xfId="0" applyNumberFormat="1" applyFont="1" applyFill="1" applyAlignment="1">
      <alignment vertical="center"/>
    </xf>
    <xf numFmtId="181" fontId="7" fillId="0" borderId="0" xfId="0" applyNumberFormat="1" applyFont="1" applyFill="1" applyAlignment="1">
      <alignment horizontal="center" vertical="center"/>
    </xf>
    <xf numFmtId="178" fontId="7" fillId="5" borderId="5" xfId="0" applyNumberFormat="1" applyFont="1" applyFill="1" applyBorder="1" applyAlignment="1">
      <alignment horizontal="center" vertical="center" wrapText="1"/>
    </xf>
    <xf numFmtId="182" fontId="7" fillId="0" borderId="0" xfId="0" applyNumberFormat="1" applyFont="1" applyFill="1" applyAlignment="1">
      <alignment horizontal="center" vertical="center"/>
    </xf>
    <xf numFmtId="182" fontId="3" fillId="0" borderId="0" xfId="0" applyNumberFormat="1" applyFont="1" applyFill="1" applyAlignment="1">
      <alignment horizontal="center" vertical="center"/>
    </xf>
    <xf numFmtId="181" fontId="7" fillId="18" borderId="0" xfId="0" applyNumberFormat="1" applyFont="1" applyFill="1" applyAlignment="1">
      <alignment horizontal="center" vertical="center"/>
    </xf>
    <xf numFmtId="181" fontId="3" fillId="0" borderId="0" xfId="0" applyNumberFormat="1" applyFont="1" applyFill="1" applyAlignment="1">
      <alignment horizontal="center" vertical="center"/>
    </xf>
    <xf numFmtId="182" fontId="13" fillId="0" borderId="0" xfId="0" applyNumberFormat="1" applyFont="1" applyFill="1" applyAlignment="1">
      <alignment horizontal="center" vertical="center"/>
    </xf>
    <xf numFmtId="182" fontId="18" fillId="0" borderId="0" xfId="0" applyNumberFormat="1" applyFont="1" applyFill="1" applyAlignment="1">
      <alignment horizontal="center" vertical="center"/>
    </xf>
    <xf numFmtId="178" fontId="13" fillId="5" borderId="5" xfId="0" applyNumberFormat="1" applyFont="1" applyFill="1" applyBorder="1" applyAlignment="1">
      <alignment horizontal="center" vertical="center" wrapText="1"/>
    </xf>
    <xf numFmtId="181" fontId="13" fillId="0" borderId="0" xfId="0" applyNumberFormat="1" applyFont="1" applyFill="1" applyAlignment="1">
      <alignment horizontal="center" vertical="center"/>
    </xf>
    <xf numFmtId="178" fontId="7" fillId="0" borderId="5" xfId="1" applyNumberFormat="1" applyFont="1" applyFill="1" applyBorder="1" applyAlignment="1">
      <alignment horizontal="center" vertical="center" wrapText="1"/>
    </xf>
    <xf numFmtId="178" fontId="13" fillId="0" borderId="5" xfId="1" applyNumberFormat="1" applyFont="1" applyFill="1" applyBorder="1" applyAlignment="1">
      <alignment horizontal="center" vertical="center" wrapText="1"/>
    </xf>
    <xf numFmtId="189" fontId="13" fillId="0" borderId="0" xfId="0" applyNumberFormat="1" applyFont="1" applyFill="1" applyAlignment="1">
      <alignment horizontal="center" vertical="center"/>
    </xf>
    <xf numFmtId="189" fontId="18" fillId="0" borderId="0" xfId="0" applyNumberFormat="1" applyFont="1" applyFill="1" applyAlignment="1">
      <alignment vertical="center"/>
    </xf>
    <xf numFmtId="178" fontId="7" fillId="17" borderId="5" xfId="0" applyNumberFormat="1" applyFont="1" applyFill="1" applyBorder="1" applyAlignment="1">
      <alignment vertical="center"/>
    </xf>
    <xf numFmtId="0" fontId="13" fillId="0" borderId="5" xfId="0" applyFont="1" applyFill="1" applyBorder="1" applyAlignment="1">
      <alignment horizontal="center" vertical="center" wrapText="1"/>
    </xf>
    <xf numFmtId="178" fontId="7" fillId="19" borderId="5" xfId="0" applyNumberFormat="1" applyFont="1" applyFill="1" applyBorder="1" applyAlignment="1">
      <alignment vertical="center" wrapText="1"/>
    </xf>
    <xf numFmtId="178" fontId="3" fillId="0" borderId="0" xfId="0" applyNumberFormat="1" applyFont="1" applyFill="1" applyAlignment="1">
      <alignment horizontal="center"/>
    </xf>
    <xf numFmtId="178" fontId="5" fillId="0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Fill="1" applyBorder="1" applyAlignment="1">
      <alignment horizontal="center" vertical="center" wrapText="1"/>
    </xf>
    <xf numFmtId="178" fontId="6" fillId="17" borderId="3" xfId="0" applyNumberFormat="1" applyFont="1" applyFill="1" applyBorder="1" applyAlignment="1">
      <alignment horizontal="center" vertical="center" wrapText="1"/>
    </xf>
    <xf numFmtId="178" fontId="6" fillId="17" borderId="4" xfId="0" applyNumberFormat="1" applyFont="1" applyFill="1" applyBorder="1" applyAlignment="1">
      <alignment horizontal="center" vertical="center" wrapText="1"/>
    </xf>
    <xf numFmtId="178" fontId="7" fillId="5" borderId="2" xfId="0" applyNumberFormat="1" applyFont="1" applyFill="1" applyBorder="1" applyAlignment="1">
      <alignment horizontal="center" vertical="center" wrapText="1"/>
    </xf>
    <xf numFmtId="178" fontId="7" fillId="5" borderId="3" xfId="0" applyNumberFormat="1" applyFont="1" applyFill="1" applyBorder="1" applyAlignment="1">
      <alignment horizontal="center" vertical="center" wrapText="1"/>
    </xf>
    <xf numFmtId="178" fontId="7" fillId="5" borderId="4" xfId="0" applyNumberFormat="1" applyFont="1" applyFill="1" applyBorder="1" applyAlignment="1">
      <alignment horizontal="center" vertical="center" wrapText="1"/>
    </xf>
    <xf numFmtId="178" fontId="7" fillId="19" borderId="6" xfId="0" applyNumberFormat="1" applyFont="1" applyFill="1" applyBorder="1" applyAlignment="1">
      <alignment horizontal="center" vertical="center" wrapText="1"/>
    </xf>
    <xf numFmtId="178" fontId="7" fillId="19" borderId="7" xfId="0" applyNumberFormat="1" applyFont="1" applyFill="1" applyBorder="1" applyAlignment="1">
      <alignment horizontal="center" vertical="center" wrapText="1"/>
    </xf>
    <xf numFmtId="178" fontId="7" fillId="19" borderId="8" xfId="0" applyNumberFormat="1" applyFont="1" applyFill="1" applyBorder="1" applyAlignment="1">
      <alignment horizontal="center" vertical="center" wrapText="1"/>
    </xf>
    <xf numFmtId="178" fontId="7" fillId="19" borderId="5" xfId="0" applyNumberFormat="1" applyFont="1" applyFill="1" applyBorder="1" applyAlignment="1">
      <alignment horizontal="center" vertical="center" wrapText="1"/>
    </xf>
    <xf numFmtId="178" fontId="6" fillId="17" borderId="9" xfId="0" applyNumberFormat="1" applyFont="1" applyFill="1" applyBorder="1" applyAlignment="1">
      <alignment horizontal="center" vertical="center" wrapText="1"/>
    </xf>
    <xf numFmtId="178" fontId="6" fillId="17" borderId="10" xfId="0" applyNumberFormat="1" applyFont="1" applyFill="1" applyBorder="1" applyAlignment="1">
      <alignment horizontal="center" vertical="center" wrapText="1"/>
    </xf>
    <xf numFmtId="178" fontId="6" fillId="17" borderId="11" xfId="0" applyNumberFormat="1" applyFont="1" applyFill="1" applyBorder="1" applyAlignment="1">
      <alignment horizontal="center" vertical="center" wrapText="1"/>
    </xf>
    <xf numFmtId="178" fontId="6" fillId="17" borderId="12" xfId="0" applyNumberFormat="1" applyFont="1" applyFill="1" applyBorder="1" applyAlignment="1">
      <alignment horizontal="center" vertical="center" wrapText="1"/>
    </xf>
    <xf numFmtId="178" fontId="6" fillId="17" borderId="1" xfId="0" applyNumberFormat="1" applyFont="1" applyFill="1" applyBorder="1" applyAlignment="1">
      <alignment horizontal="center" vertical="center" wrapText="1"/>
    </xf>
    <xf numFmtId="178" fontId="6" fillId="17" borderId="13" xfId="0" applyNumberFormat="1" applyFont="1" applyFill="1" applyBorder="1" applyAlignment="1">
      <alignment horizontal="center" vertical="center" wrapText="1"/>
    </xf>
    <xf numFmtId="0" fontId="18" fillId="0" borderId="0" xfId="0" applyFont="1" applyFill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178" fontId="7" fillId="17" borderId="5" xfId="0" applyNumberFormat="1" applyFont="1" applyFill="1" applyBorder="1" applyAlignment="1">
      <alignment horizontal="center" vertical="center" wrapText="1"/>
    </xf>
    <xf numFmtId="178" fontId="6" fillId="0" borderId="2" xfId="0" applyNumberFormat="1" applyFont="1" applyFill="1" applyBorder="1" applyAlignment="1">
      <alignment horizontal="center" vertical="center" wrapText="1"/>
    </xf>
    <xf numFmtId="178" fontId="6" fillId="0" borderId="3" xfId="0" applyNumberFormat="1" applyFont="1" applyFill="1" applyBorder="1" applyAlignment="1">
      <alignment horizontal="center" vertical="center" wrapText="1"/>
    </xf>
    <xf numFmtId="178" fontId="6" fillId="0" borderId="4" xfId="0" applyNumberFormat="1" applyFont="1" applyFill="1" applyBorder="1" applyAlignment="1">
      <alignment horizontal="center" vertical="center" wrapText="1"/>
    </xf>
    <xf numFmtId="178" fontId="6" fillId="0" borderId="2" xfId="0" applyNumberFormat="1" applyFont="1" applyFill="1" applyBorder="1" applyAlignment="1">
      <alignment horizontal="center" vertical="center"/>
    </xf>
    <xf numFmtId="178" fontId="6" fillId="0" borderId="4" xfId="0" applyNumberFormat="1" applyFont="1" applyFill="1" applyBorder="1" applyAlignment="1">
      <alignment horizontal="center" vertical="center"/>
    </xf>
    <xf numFmtId="178" fontId="7" fillId="0" borderId="0" xfId="0" applyNumberFormat="1" applyFont="1" applyFill="1" applyAlignment="1">
      <alignment horizontal="left" vertical="center"/>
    </xf>
    <xf numFmtId="178" fontId="7" fillId="0" borderId="6" xfId="0" applyNumberFormat="1" applyFont="1" applyFill="1" applyBorder="1" applyAlignment="1">
      <alignment horizontal="center" vertical="center" wrapText="1"/>
    </xf>
    <xf numFmtId="178" fontId="7" fillId="0" borderId="7" xfId="0" applyNumberFormat="1" applyFont="1" applyFill="1" applyBorder="1" applyAlignment="1">
      <alignment horizontal="center" vertical="center" wrapText="1"/>
    </xf>
    <xf numFmtId="178" fontId="7" fillId="0" borderId="8" xfId="0" applyNumberFormat="1" applyFont="1" applyFill="1" applyBorder="1" applyAlignment="1">
      <alignment horizontal="center" vertical="center" wrapText="1"/>
    </xf>
    <xf numFmtId="178" fontId="7" fillId="13" borderId="6" xfId="0" applyNumberFormat="1" applyFont="1" applyFill="1" applyBorder="1" applyAlignment="1">
      <alignment horizontal="center" vertical="center" wrapText="1"/>
    </xf>
    <xf numFmtId="178" fontId="7" fillId="13" borderId="7" xfId="0" applyNumberFormat="1" applyFont="1" applyFill="1" applyBorder="1" applyAlignment="1">
      <alignment horizontal="center" vertical="center" wrapText="1"/>
    </xf>
    <xf numFmtId="178" fontId="7" fillId="13" borderId="8" xfId="0" applyNumberFormat="1" applyFont="1" applyFill="1" applyBorder="1" applyAlignment="1">
      <alignment horizontal="center" vertical="center" wrapText="1"/>
    </xf>
    <xf numFmtId="178" fontId="7" fillId="15" borderId="7" xfId="0" applyNumberFormat="1" applyFont="1" applyFill="1" applyBorder="1" applyAlignment="1">
      <alignment horizontal="center" vertical="center" wrapText="1"/>
    </xf>
    <xf numFmtId="178" fontId="7" fillId="15" borderId="8" xfId="0" applyNumberFormat="1" applyFont="1" applyFill="1" applyBorder="1" applyAlignment="1">
      <alignment horizontal="center" vertical="center" wrapText="1"/>
    </xf>
    <xf numFmtId="178" fontId="7" fillId="0" borderId="5" xfId="0" applyNumberFormat="1" applyFont="1" applyFill="1" applyBorder="1" applyAlignment="1">
      <alignment horizontal="center" vertical="center" wrapText="1"/>
    </xf>
  </cellXfs>
  <cellStyles count="2">
    <cellStyle name="百分比" xfId="1" builtinId="5"/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00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139700</xdr:colOff>
      <xdr:row>0</xdr:row>
      <xdr:rowOff>88900</xdr:rowOff>
    </xdr:from>
    <xdr:to>
      <xdr:col>1</xdr:col>
      <xdr:colOff>1140460</xdr:colOff>
      <xdr:row>0</xdr:row>
      <xdr:rowOff>444500</xdr:rowOff>
    </xdr:to>
    <xdr:sp macro="" textlink="">
      <xdr:nvSpPr>
        <xdr:cNvPr id="2" name="圆角矩形 1"/>
        <xdr:cNvSpPr/>
      </xdr:nvSpPr>
      <xdr:spPr>
        <a:xfrm>
          <a:off x="139700" y="88900"/>
          <a:ext cx="1512570" cy="35560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 b="1">
              <a:solidFill>
                <a:sysClr val="windowText" lastClr="000000"/>
              </a:solidFill>
            </a:rPr>
            <a:t>2025-11-10</a:t>
          </a:r>
        </a:p>
      </xdr:txBody>
    </xdr:sp>
    <xdr:clientData/>
  </xdr:twoCellAnchor>
  <xdr:twoCellAnchor editAs="oneCell">
    <xdr:from>
      <xdr:col>1</xdr:col>
      <xdr:colOff>695325</xdr:colOff>
      <xdr:row>0</xdr:row>
      <xdr:rowOff>111760</xdr:rowOff>
    </xdr:from>
    <xdr:to>
      <xdr:col>1</xdr:col>
      <xdr:colOff>995045</xdr:colOff>
      <xdr:row>0</xdr:row>
      <xdr:rowOff>411480</xdr:rowOff>
    </xdr:to>
    <xdr:pic>
      <xdr:nvPicPr>
        <xdr:cNvPr id="3" name="图片 2" descr="日期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1207135" y="111760"/>
          <a:ext cx="299720" cy="299720"/>
        </a:xfrm>
        <a:prstGeom prst="rect">
          <a:avLst/>
        </a:prstGeom>
      </xdr:spPr>
    </xdr:pic>
    <xdr:clientData/>
  </xdr:twoCellAnchor>
  <xdr:twoCellAnchor>
    <xdr:from>
      <xdr:col>6</xdr:col>
      <xdr:colOff>269875</xdr:colOff>
      <xdr:row>0</xdr:row>
      <xdr:rowOff>90170</xdr:rowOff>
    </xdr:from>
    <xdr:to>
      <xdr:col>6</xdr:col>
      <xdr:colOff>1021080</xdr:colOff>
      <xdr:row>0</xdr:row>
      <xdr:rowOff>428625</xdr:rowOff>
    </xdr:to>
    <xdr:sp macro="" textlink="">
      <xdr:nvSpPr>
        <xdr:cNvPr id="4" name="圆角矩形 3"/>
        <xdr:cNvSpPr/>
      </xdr:nvSpPr>
      <xdr:spPr>
        <a:xfrm>
          <a:off x="11275060" y="90170"/>
          <a:ext cx="751205" cy="338455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 b="1">
              <a:solidFill>
                <a:sysClr val="windowText" lastClr="000000"/>
              </a:solidFill>
            </a:rPr>
            <a:t>提交</a:t>
          </a:r>
        </a:p>
      </xdr:txBody>
    </xdr:sp>
    <xdr:clientData/>
  </xdr:twoCellAnchor>
  <xdr:twoCellAnchor>
    <xdr:from>
      <xdr:col>6</xdr:col>
      <xdr:colOff>1143000</xdr:colOff>
      <xdr:row>0</xdr:row>
      <xdr:rowOff>98425</xdr:rowOff>
    </xdr:from>
    <xdr:to>
      <xdr:col>6</xdr:col>
      <xdr:colOff>2118360</xdr:colOff>
      <xdr:row>0</xdr:row>
      <xdr:rowOff>436880</xdr:rowOff>
    </xdr:to>
    <xdr:sp macro="" textlink="">
      <xdr:nvSpPr>
        <xdr:cNvPr id="6" name="圆角矩形 5"/>
        <xdr:cNvSpPr/>
      </xdr:nvSpPr>
      <xdr:spPr>
        <a:xfrm>
          <a:off x="12148185" y="98425"/>
          <a:ext cx="975360" cy="338455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 b="1">
              <a:solidFill>
                <a:sysClr val="windowText" lastClr="000000"/>
              </a:solidFill>
            </a:rPr>
            <a:t>审核确认</a:t>
          </a:r>
        </a:p>
      </xdr:txBody>
    </xdr:sp>
    <xdr:clientData/>
  </xdr:twoCellAnchor>
  <xdr:twoCellAnchor>
    <xdr:from>
      <xdr:col>5</xdr:col>
      <xdr:colOff>1873250</xdr:colOff>
      <xdr:row>0</xdr:row>
      <xdr:rowOff>86995</xdr:rowOff>
    </xdr:from>
    <xdr:to>
      <xdr:col>6</xdr:col>
      <xdr:colOff>168275</xdr:colOff>
      <xdr:row>0</xdr:row>
      <xdr:rowOff>425450</xdr:rowOff>
    </xdr:to>
    <xdr:sp macro="" textlink="">
      <xdr:nvSpPr>
        <xdr:cNvPr id="7" name="圆角矩形 6"/>
        <xdr:cNvSpPr/>
      </xdr:nvSpPr>
      <xdr:spPr>
        <a:xfrm>
          <a:off x="10354945" y="86995"/>
          <a:ext cx="818515" cy="338455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 b="1">
              <a:solidFill>
                <a:sysClr val="windowText" lastClr="000000"/>
              </a:solidFill>
            </a:rPr>
            <a:t>编辑</a:t>
          </a:r>
        </a:p>
      </xdr:txBody>
    </xdr:sp>
    <xdr:clientData/>
  </xdr:twoCellAnchor>
  <xdr:twoCellAnchor>
    <xdr:from>
      <xdr:col>5</xdr:col>
      <xdr:colOff>901700</xdr:colOff>
      <xdr:row>0</xdr:row>
      <xdr:rowOff>92710</xdr:rowOff>
    </xdr:from>
    <xdr:to>
      <xdr:col>5</xdr:col>
      <xdr:colOff>1720215</xdr:colOff>
      <xdr:row>0</xdr:row>
      <xdr:rowOff>431165</xdr:rowOff>
    </xdr:to>
    <xdr:sp macro="" textlink="">
      <xdr:nvSpPr>
        <xdr:cNvPr id="8" name="圆角矩形 7"/>
        <xdr:cNvSpPr/>
      </xdr:nvSpPr>
      <xdr:spPr>
        <a:xfrm>
          <a:off x="9383395" y="92710"/>
          <a:ext cx="818515" cy="338455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 b="1">
              <a:solidFill>
                <a:sysClr val="windowText" lastClr="000000"/>
              </a:solidFill>
            </a:rPr>
            <a:t>导出</a:t>
          </a:r>
        </a:p>
      </xdr:txBody>
    </xdr:sp>
    <xdr:clientData/>
  </xdr:twoCellAnchor>
  <xdr:twoCellAnchor>
    <xdr:from>
      <xdr:col>1</xdr:col>
      <xdr:colOff>1276985</xdr:colOff>
      <xdr:row>0</xdr:row>
      <xdr:rowOff>90805</xdr:rowOff>
    </xdr:from>
    <xdr:to>
      <xdr:col>3</xdr:col>
      <xdr:colOff>180340</xdr:colOff>
      <xdr:row>0</xdr:row>
      <xdr:rowOff>446405</xdr:rowOff>
    </xdr:to>
    <xdr:grpSp>
      <xdr:nvGrpSpPr>
        <xdr:cNvPr id="9" name="组合 8"/>
        <xdr:cNvGrpSpPr/>
      </xdr:nvGrpSpPr>
      <xdr:grpSpPr>
        <a:xfrm>
          <a:off x="1869394" y="90805"/>
          <a:ext cx="1911861" cy="355600"/>
          <a:chOff x="2565" y="85"/>
          <a:chExt cx="2376" cy="560"/>
        </a:xfrm>
      </xdr:grpSpPr>
      <xdr:sp macro="" textlink="">
        <xdr:nvSpPr>
          <xdr:cNvPr id="10" name="圆角矩形 9"/>
          <xdr:cNvSpPr/>
        </xdr:nvSpPr>
        <xdr:spPr>
          <a:xfrm>
            <a:off x="2565" y="85"/>
            <a:ext cx="2376" cy="560"/>
          </a:xfrm>
          <a:prstGeom prst="roundRect">
            <a:avLst/>
          </a:prstGeom>
          <a:solidFill>
            <a:schemeClr val="accent1">
              <a:lumMod val="20000"/>
              <a:lumOff val="80000"/>
            </a:schemeClr>
          </a:solidFill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ctr" anchorCtr="0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zh-CN" sz="1200" b="1">
                <a:solidFill>
                  <a:sysClr val="windowText" lastClr="000000"/>
                </a:solidFill>
              </a:rPr>
              <a:t>新宁糖业</a:t>
            </a:r>
          </a:p>
        </xdr:txBody>
      </xdr:sp>
      <xdr:sp macro="" textlink="">
        <xdr:nvSpPr>
          <xdr:cNvPr id="11" name="等腰三角形 10"/>
          <xdr:cNvSpPr/>
        </xdr:nvSpPr>
        <xdr:spPr>
          <a:xfrm rot="10800000" flipH="1">
            <a:off x="4328" y="208"/>
            <a:ext cx="416" cy="303"/>
          </a:xfrm>
          <a:prstGeom prst="triangle">
            <a:avLst/>
          </a:prstGeom>
          <a:solidFill>
            <a:schemeClr val="bg2">
              <a:lumMod val="75000"/>
            </a:schemeClr>
          </a:solidFill>
          <a:ln>
            <a:solidFill>
              <a:schemeClr val="bg2">
                <a:lumMod val="75000"/>
              </a:schemeClr>
            </a:solidFill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zh-CN" altLang="en-US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0</xdr:row>
      <xdr:rowOff>101600</xdr:rowOff>
    </xdr:from>
    <xdr:to>
      <xdr:col>1</xdr:col>
      <xdr:colOff>1093470</xdr:colOff>
      <xdr:row>0</xdr:row>
      <xdr:rowOff>457200</xdr:rowOff>
    </xdr:to>
    <xdr:sp macro="" textlink="">
      <xdr:nvSpPr>
        <xdr:cNvPr id="2" name="圆角矩形 1"/>
        <xdr:cNvSpPr/>
      </xdr:nvSpPr>
      <xdr:spPr>
        <a:xfrm>
          <a:off x="190500" y="101600"/>
          <a:ext cx="1512570" cy="35560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 b="1">
              <a:solidFill>
                <a:sysClr val="windowText" lastClr="000000"/>
              </a:solidFill>
            </a:rPr>
            <a:t>2025-11-10</a:t>
          </a:r>
        </a:p>
      </xdr:txBody>
    </xdr:sp>
    <xdr:clientData/>
  </xdr:twoCellAnchor>
  <xdr:twoCellAnchor editAs="oneCell">
    <xdr:from>
      <xdr:col>1</xdr:col>
      <xdr:colOff>648335</xdr:colOff>
      <xdr:row>0</xdr:row>
      <xdr:rowOff>124460</xdr:rowOff>
    </xdr:from>
    <xdr:to>
      <xdr:col>1</xdr:col>
      <xdr:colOff>948055</xdr:colOff>
      <xdr:row>0</xdr:row>
      <xdr:rowOff>424180</xdr:rowOff>
    </xdr:to>
    <xdr:pic>
      <xdr:nvPicPr>
        <xdr:cNvPr id="3" name="图片 2" descr="日期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1257935" y="124460"/>
          <a:ext cx="299720" cy="299720"/>
        </a:xfrm>
        <a:prstGeom prst="rect">
          <a:avLst/>
        </a:prstGeom>
      </xdr:spPr>
    </xdr:pic>
    <xdr:clientData/>
  </xdr:twoCellAnchor>
  <xdr:twoCellAnchor>
    <xdr:from>
      <xdr:col>17</xdr:col>
      <xdr:colOff>259080</xdr:colOff>
      <xdr:row>0</xdr:row>
      <xdr:rowOff>102870</xdr:rowOff>
    </xdr:from>
    <xdr:to>
      <xdr:col>18</xdr:col>
      <xdr:colOff>238125</xdr:colOff>
      <xdr:row>0</xdr:row>
      <xdr:rowOff>441325</xdr:rowOff>
    </xdr:to>
    <xdr:sp macro="" textlink="">
      <xdr:nvSpPr>
        <xdr:cNvPr id="4" name="圆角矩形 3"/>
        <xdr:cNvSpPr/>
      </xdr:nvSpPr>
      <xdr:spPr>
        <a:xfrm>
          <a:off x="17598390" y="102870"/>
          <a:ext cx="751205" cy="338455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 b="1">
              <a:solidFill>
                <a:sysClr val="windowText" lastClr="000000"/>
              </a:solidFill>
            </a:rPr>
            <a:t>提交</a:t>
          </a:r>
        </a:p>
      </xdr:txBody>
    </xdr:sp>
    <xdr:clientData/>
  </xdr:twoCellAnchor>
  <xdr:twoCellAnchor>
    <xdr:from>
      <xdr:col>16</xdr:col>
      <xdr:colOff>36195</xdr:colOff>
      <xdr:row>0</xdr:row>
      <xdr:rowOff>101600</xdr:rowOff>
    </xdr:from>
    <xdr:to>
      <xdr:col>17</xdr:col>
      <xdr:colOff>78105</xdr:colOff>
      <xdr:row>0</xdr:row>
      <xdr:rowOff>440055</xdr:rowOff>
    </xdr:to>
    <xdr:sp macro="" textlink="">
      <xdr:nvSpPr>
        <xdr:cNvPr id="5" name="圆角矩形 4"/>
        <xdr:cNvSpPr/>
      </xdr:nvSpPr>
      <xdr:spPr>
        <a:xfrm>
          <a:off x="16571595" y="101600"/>
          <a:ext cx="845820" cy="338455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 b="1">
              <a:solidFill>
                <a:sysClr val="windowText" lastClr="000000"/>
              </a:solidFill>
            </a:rPr>
            <a:t>编辑</a:t>
          </a:r>
        </a:p>
      </xdr:txBody>
    </xdr:sp>
    <xdr:clientData/>
  </xdr:twoCellAnchor>
  <xdr:twoCellAnchor>
    <xdr:from>
      <xdr:col>1</xdr:col>
      <xdr:colOff>1243965</xdr:colOff>
      <xdr:row>0</xdr:row>
      <xdr:rowOff>109855</xdr:rowOff>
    </xdr:from>
    <xdr:to>
      <xdr:col>2</xdr:col>
      <xdr:colOff>916940</xdr:colOff>
      <xdr:row>0</xdr:row>
      <xdr:rowOff>465455</xdr:rowOff>
    </xdr:to>
    <xdr:grpSp>
      <xdr:nvGrpSpPr>
        <xdr:cNvPr id="6" name="组合 5"/>
        <xdr:cNvGrpSpPr/>
      </xdr:nvGrpSpPr>
      <xdr:grpSpPr>
        <a:xfrm>
          <a:off x="1853565" y="109855"/>
          <a:ext cx="1511935" cy="355600"/>
          <a:chOff x="2565" y="85"/>
          <a:chExt cx="2376" cy="560"/>
        </a:xfrm>
      </xdr:grpSpPr>
      <xdr:sp macro="" textlink="">
        <xdr:nvSpPr>
          <xdr:cNvPr id="7" name="圆角矩形 6"/>
          <xdr:cNvSpPr/>
        </xdr:nvSpPr>
        <xdr:spPr>
          <a:xfrm>
            <a:off x="2565" y="85"/>
            <a:ext cx="2376" cy="560"/>
          </a:xfrm>
          <a:prstGeom prst="roundRect">
            <a:avLst/>
          </a:prstGeom>
          <a:solidFill>
            <a:schemeClr val="accent1">
              <a:lumMod val="20000"/>
              <a:lumOff val="80000"/>
            </a:schemeClr>
          </a:solidFill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ctr" anchorCtr="0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zh-CN" sz="1200" b="1">
                <a:solidFill>
                  <a:sysClr val="windowText" lastClr="000000"/>
                </a:solidFill>
              </a:rPr>
              <a:t>新宁糖业</a:t>
            </a:r>
          </a:p>
        </xdr:txBody>
      </xdr:sp>
      <xdr:sp macro="" textlink="">
        <xdr:nvSpPr>
          <xdr:cNvPr id="8" name="等腰三角形 7"/>
          <xdr:cNvSpPr/>
        </xdr:nvSpPr>
        <xdr:spPr>
          <a:xfrm rot="10800000" flipH="1">
            <a:off x="4328" y="208"/>
            <a:ext cx="416" cy="303"/>
          </a:xfrm>
          <a:prstGeom prst="triangle">
            <a:avLst/>
          </a:prstGeom>
          <a:solidFill>
            <a:schemeClr val="bg2">
              <a:lumMod val="75000"/>
            </a:schemeClr>
          </a:solidFill>
          <a:ln>
            <a:solidFill>
              <a:schemeClr val="bg2">
                <a:lumMod val="75000"/>
              </a:schemeClr>
            </a:solidFill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zh-CN" altLang="en-US" sz="11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0</xdr:row>
      <xdr:rowOff>88900</xdr:rowOff>
    </xdr:from>
    <xdr:to>
      <xdr:col>1</xdr:col>
      <xdr:colOff>1093470</xdr:colOff>
      <xdr:row>0</xdr:row>
      <xdr:rowOff>444500</xdr:rowOff>
    </xdr:to>
    <xdr:sp macro="" textlink="">
      <xdr:nvSpPr>
        <xdr:cNvPr id="2" name="圆角矩形 1"/>
        <xdr:cNvSpPr/>
      </xdr:nvSpPr>
      <xdr:spPr>
        <a:xfrm>
          <a:off x="190500" y="88900"/>
          <a:ext cx="1512570" cy="35560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 b="1">
              <a:solidFill>
                <a:sysClr val="windowText" lastClr="000000"/>
              </a:solidFill>
            </a:rPr>
            <a:t>2025-11-10</a:t>
          </a:r>
        </a:p>
      </xdr:txBody>
    </xdr:sp>
    <xdr:clientData/>
  </xdr:twoCellAnchor>
  <xdr:twoCellAnchor editAs="oneCell">
    <xdr:from>
      <xdr:col>1</xdr:col>
      <xdr:colOff>648335</xdr:colOff>
      <xdr:row>0</xdr:row>
      <xdr:rowOff>111760</xdr:rowOff>
    </xdr:from>
    <xdr:to>
      <xdr:col>1</xdr:col>
      <xdr:colOff>948055</xdr:colOff>
      <xdr:row>0</xdr:row>
      <xdr:rowOff>411480</xdr:rowOff>
    </xdr:to>
    <xdr:pic>
      <xdr:nvPicPr>
        <xdr:cNvPr id="3" name="图片 2" descr="日期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1257935" y="111760"/>
          <a:ext cx="299720" cy="299720"/>
        </a:xfrm>
        <a:prstGeom prst="rect">
          <a:avLst/>
        </a:prstGeom>
      </xdr:spPr>
    </xdr:pic>
    <xdr:clientData/>
  </xdr:twoCellAnchor>
  <xdr:twoCellAnchor>
    <xdr:from>
      <xdr:col>5</xdr:col>
      <xdr:colOff>1639570</xdr:colOff>
      <xdr:row>0</xdr:row>
      <xdr:rowOff>77470</xdr:rowOff>
    </xdr:from>
    <xdr:to>
      <xdr:col>5</xdr:col>
      <xdr:colOff>2390775</xdr:colOff>
      <xdr:row>0</xdr:row>
      <xdr:rowOff>415925</xdr:rowOff>
    </xdr:to>
    <xdr:sp macro="" textlink="">
      <xdr:nvSpPr>
        <xdr:cNvPr id="4" name="圆角矩形 3"/>
        <xdr:cNvSpPr/>
      </xdr:nvSpPr>
      <xdr:spPr>
        <a:xfrm>
          <a:off x="8238490" y="77470"/>
          <a:ext cx="751205" cy="338455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 b="1">
              <a:solidFill>
                <a:sysClr val="windowText" lastClr="000000"/>
              </a:solidFill>
            </a:rPr>
            <a:t>提交</a:t>
          </a:r>
        </a:p>
      </xdr:txBody>
    </xdr:sp>
    <xdr:clientData/>
  </xdr:twoCellAnchor>
  <xdr:twoCellAnchor>
    <xdr:from>
      <xdr:col>5</xdr:col>
      <xdr:colOff>640080</xdr:colOff>
      <xdr:row>0</xdr:row>
      <xdr:rowOff>76200</xdr:rowOff>
    </xdr:from>
    <xdr:to>
      <xdr:col>5</xdr:col>
      <xdr:colOff>1458595</xdr:colOff>
      <xdr:row>0</xdr:row>
      <xdr:rowOff>414655</xdr:rowOff>
    </xdr:to>
    <xdr:sp macro="" textlink="">
      <xdr:nvSpPr>
        <xdr:cNvPr id="5" name="圆角矩形 4"/>
        <xdr:cNvSpPr/>
      </xdr:nvSpPr>
      <xdr:spPr>
        <a:xfrm>
          <a:off x="7239000" y="76200"/>
          <a:ext cx="818515" cy="338455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 b="1">
              <a:solidFill>
                <a:sysClr val="windowText" lastClr="000000"/>
              </a:solidFill>
            </a:rPr>
            <a:t>编辑</a:t>
          </a:r>
        </a:p>
      </xdr:txBody>
    </xdr:sp>
    <xdr:clientData/>
  </xdr:twoCellAnchor>
  <xdr:twoCellAnchor>
    <xdr:from>
      <xdr:col>1</xdr:col>
      <xdr:colOff>1174115</xdr:colOff>
      <xdr:row>0</xdr:row>
      <xdr:rowOff>118110</xdr:rowOff>
    </xdr:from>
    <xdr:to>
      <xdr:col>2</xdr:col>
      <xdr:colOff>1172845</xdr:colOff>
      <xdr:row>0</xdr:row>
      <xdr:rowOff>473710</xdr:rowOff>
    </xdr:to>
    <xdr:grpSp>
      <xdr:nvGrpSpPr>
        <xdr:cNvPr id="6" name="组合 5"/>
        <xdr:cNvGrpSpPr/>
      </xdr:nvGrpSpPr>
      <xdr:grpSpPr>
        <a:xfrm>
          <a:off x="1783715" y="118110"/>
          <a:ext cx="1511935" cy="355600"/>
          <a:chOff x="2565" y="85"/>
          <a:chExt cx="2376" cy="560"/>
        </a:xfrm>
      </xdr:grpSpPr>
      <xdr:sp macro="" textlink="">
        <xdr:nvSpPr>
          <xdr:cNvPr id="7" name="圆角矩形 6"/>
          <xdr:cNvSpPr/>
        </xdr:nvSpPr>
        <xdr:spPr>
          <a:xfrm>
            <a:off x="2565" y="85"/>
            <a:ext cx="2376" cy="560"/>
          </a:xfrm>
          <a:prstGeom prst="roundRect">
            <a:avLst/>
          </a:prstGeom>
          <a:solidFill>
            <a:schemeClr val="accent1">
              <a:lumMod val="20000"/>
              <a:lumOff val="80000"/>
            </a:schemeClr>
          </a:solidFill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ctr" anchorCtr="0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zh-CN" sz="1200" b="1">
                <a:solidFill>
                  <a:sysClr val="windowText" lastClr="000000"/>
                </a:solidFill>
              </a:rPr>
              <a:t>新宁糖业</a:t>
            </a:r>
          </a:p>
        </xdr:txBody>
      </xdr:sp>
      <xdr:sp macro="" textlink="">
        <xdr:nvSpPr>
          <xdr:cNvPr id="8" name="等腰三角形 7"/>
          <xdr:cNvSpPr/>
        </xdr:nvSpPr>
        <xdr:spPr>
          <a:xfrm rot="10800000" flipH="1">
            <a:off x="4328" y="208"/>
            <a:ext cx="416" cy="303"/>
          </a:xfrm>
          <a:prstGeom prst="triangle">
            <a:avLst/>
          </a:prstGeom>
          <a:solidFill>
            <a:schemeClr val="bg2">
              <a:lumMod val="75000"/>
            </a:schemeClr>
          </a:solidFill>
          <a:ln>
            <a:solidFill>
              <a:schemeClr val="bg2">
                <a:lumMod val="75000"/>
              </a:schemeClr>
            </a:solidFill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zh-CN" altLang="en-US" sz="1100"/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iaomiao/Desktop/&#26032;&#30086;&#31958;&#19994;&#39033;&#30446;/&#29983;&#20135;&#25253;&#34920;/&#21103;&#26412;1&#12289;&#26032;&#23425;&#31958;&#19994;&#32508;&#21512;&#26085;&#2525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5.11.3"/>
      <sheetName val="2025.11.2"/>
      <sheetName val="2025.11.1"/>
      <sheetName val="2025.10.31"/>
      <sheetName val="2025.10.30"/>
      <sheetName val="2025.10.29"/>
      <sheetName val="2025.10.28"/>
      <sheetName val="2025.10.27"/>
      <sheetName val="2025.10.26"/>
      <sheetName val="2025.10.25"/>
      <sheetName val="2025.10.24"/>
      <sheetName val="2025.10.23"/>
      <sheetName val="2025.10.22"/>
      <sheetName val="2025.10.21"/>
      <sheetName val="2025.10.20"/>
      <sheetName val="2025.10.19"/>
      <sheetName val="2025.10.18"/>
      <sheetName val="2025.10.17"/>
      <sheetName val="2025.10.16"/>
      <sheetName val="2025.10.15"/>
      <sheetName val="2025.10.14"/>
      <sheetName val="2025.10.13"/>
      <sheetName val="2025.10.12"/>
      <sheetName val="2025.10.11"/>
      <sheetName val="2025.10.10"/>
      <sheetName val="2025.10.9"/>
      <sheetName val="2025.10.8"/>
      <sheetName val="2025.10.7"/>
      <sheetName val="2025.10.6"/>
      <sheetName val="2025.10.5"/>
      <sheetName val="2025.10.4"/>
      <sheetName val="2025.10.3"/>
      <sheetName val="指标说明"/>
    </sheetNames>
    <sheetDataSet>
      <sheetData sheetId="0"/>
      <sheetData sheetId="1"/>
      <sheetData sheetId="2">
        <row r="3">
          <cell r="I3">
            <v>80846.012539999996</v>
          </cell>
        </row>
        <row r="4">
          <cell r="E4">
            <v>546793.42931000004</v>
          </cell>
          <cell r="O4">
            <v>530307.23</v>
          </cell>
          <cell r="P4">
            <v>465947.41677000001</v>
          </cell>
        </row>
        <row r="5">
          <cell r="O5">
            <v>91872.74</v>
          </cell>
          <cell r="P5">
            <v>80846.012539999996</v>
          </cell>
        </row>
        <row r="6">
          <cell r="I6">
            <v>4731.4855100000004</v>
          </cell>
        </row>
        <row r="13">
          <cell r="E13">
            <v>116742.19337689001</v>
          </cell>
        </row>
        <row r="17">
          <cell r="E17">
            <v>122783.97097145799</v>
          </cell>
        </row>
        <row r="22">
          <cell r="E22">
            <v>4366.5</v>
          </cell>
        </row>
        <row r="23">
          <cell r="E23">
            <v>3129</v>
          </cell>
        </row>
        <row r="30">
          <cell r="E30">
            <v>8315</v>
          </cell>
        </row>
        <row r="32">
          <cell r="E32">
            <v>141</v>
          </cell>
        </row>
        <row r="39">
          <cell r="E39">
            <v>3686.95</v>
          </cell>
        </row>
        <row r="40">
          <cell r="E40">
            <v>3881</v>
          </cell>
        </row>
        <row r="43">
          <cell r="E43">
            <v>3386.35</v>
          </cell>
        </row>
        <row r="49">
          <cell r="E49">
            <v>10175</v>
          </cell>
        </row>
        <row r="51">
          <cell r="E51">
            <v>1634.11</v>
          </cell>
        </row>
        <row r="54">
          <cell r="E54">
            <v>126.62</v>
          </cell>
        </row>
        <row r="58">
          <cell r="E58">
            <v>662</v>
          </cell>
        </row>
        <row r="59">
          <cell r="E59">
            <v>194</v>
          </cell>
        </row>
        <row r="60">
          <cell r="E60">
            <v>96</v>
          </cell>
        </row>
        <row r="77">
          <cell r="E77">
            <v>5209.5</v>
          </cell>
        </row>
        <row r="78">
          <cell r="E78">
            <v>946</v>
          </cell>
        </row>
        <row r="79">
          <cell r="E79">
            <v>844</v>
          </cell>
        </row>
        <row r="82">
          <cell r="E82">
            <v>2732</v>
          </cell>
        </row>
        <row r="83">
          <cell r="E83">
            <v>1224.5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FA84"/>
  <sheetViews>
    <sheetView tabSelected="1" zoomScale="82" zoomScaleNormal="82" workbookViewId="0">
      <pane ySplit="5" topLeftCell="A56" activePane="bottomLeft" state="frozen"/>
      <selection pane="bottomLeft" activeCell="D64" sqref="D64"/>
    </sheetView>
  </sheetViews>
  <sheetFormatPr defaultColWidth="9" defaultRowHeight="13.5"/>
  <cols>
    <col min="1" max="1" width="7.75" style="3" customWidth="1"/>
    <col min="2" max="2" width="28.375" style="3" customWidth="1"/>
    <col min="3" max="3" width="11.125" style="3" customWidth="1"/>
    <col min="4" max="4" width="39.75" style="145" customWidth="1"/>
    <col min="5" max="5" width="41.375" style="145" customWidth="1"/>
    <col min="6" max="6" width="38.25" style="145" customWidth="1"/>
    <col min="7" max="7" width="36.5" style="145" customWidth="1"/>
    <col min="8" max="8" width="37.5" style="129" customWidth="1"/>
    <col min="9" max="9" width="14" style="142" customWidth="1"/>
    <col min="10" max="10" width="15.5" style="142" customWidth="1"/>
    <col min="11" max="11" width="21.125" style="142" customWidth="1"/>
    <col min="12" max="12" width="19.5" style="142" customWidth="1"/>
    <col min="13" max="13" width="14.625" style="142" customWidth="1"/>
    <col min="14" max="14" width="18.25" style="142" customWidth="1"/>
    <col min="15" max="15" width="12.375" style="142" customWidth="1"/>
    <col min="16" max="16" width="13.375" style="142" customWidth="1"/>
    <col min="17" max="16381" width="9" style="142"/>
  </cols>
  <sheetData>
    <row r="1" spans="1:21" ht="39.950000000000003" customHeight="1">
      <c r="A1" s="197"/>
      <c r="B1" s="197"/>
      <c r="C1" s="197"/>
      <c r="D1" s="197"/>
      <c r="E1" s="197"/>
      <c r="F1" s="197"/>
      <c r="G1" s="197"/>
    </row>
    <row r="2" spans="1:21" s="142" customFormat="1" ht="21">
      <c r="A2" s="198" t="s">
        <v>0</v>
      </c>
      <c r="B2" s="198"/>
      <c r="C2" s="198"/>
      <c r="D2" s="199"/>
      <c r="E2" s="199"/>
      <c r="F2" s="199"/>
      <c r="G2" s="199"/>
      <c r="H2" s="146"/>
      <c r="I2"/>
      <c r="J2"/>
      <c r="K2"/>
      <c r="L2"/>
      <c r="M2"/>
      <c r="N2"/>
    </row>
    <row r="3" spans="1:21" s="142" customFormat="1" ht="16.5">
      <c r="A3" s="209" t="s">
        <v>1</v>
      </c>
      <c r="B3" s="210"/>
      <c r="C3" s="211"/>
      <c r="D3" s="200"/>
      <c r="E3" s="200"/>
      <c r="F3" s="200"/>
      <c r="G3" s="201"/>
      <c r="H3" s="146" t="s">
        <v>2</v>
      </c>
      <c r="I3"/>
      <c r="J3"/>
      <c r="K3"/>
      <c r="L3"/>
      <c r="M3"/>
      <c r="N3"/>
    </row>
    <row r="4" spans="1:21" s="142" customFormat="1" ht="16.5">
      <c r="A4" s="212"/>
      <c r="B4" s="213"/>
      <c r="C4" s="214"/>
      <c r="D4" s="147"/>
      <c r="E4" s="147"/>
      <c r="F4" s="147"/>
      <c r="G4" s="148"/>
      <c r="H4" s="146"/>
      <c r="I4"/>
      <c r="J4"/>
      <c r="K4"/>
      <c r="L4"/>
      <c r="M4"/>
      <c r="N4"/>
    </row>
    <row r="5" spans="1:21" s="142" customFormat="1" ht="16.5">
      <c r="A5" s="118" t="s">
        <v>3</v>
      </c>
      <c r="B5" s="149" t="s">
        <v>4</v>
      </c>
      <c r="C5" s="149" t="s">
        <v>5</v>
      </c>
      <c r="D5" s="118" t="s">
        <v>6</v>
      </c>
      <c r="E5" s="118" t="s">
        <v>7</v>
      </c>
      <c r="F5" s="118" t="s">
        <v>8</v>
      </c>
      <c r="G5" s="118" t="s">
        <v>9</v>
      </c>
      <c r="H5" s="146"/>
      <c r="I5"/>
      <c r="J5"/>
      <c r="K5"/>
      <c r="L5"/>
      <c r="M5"/>
      <c r="N5"/>
    </row>
    <row r="6" spans="1:21" s="142" customFormat="1" ht="16.5">
      <c r="A6" s="205" t="s">
        <v>10</v>
      </c>
      <c r="B6" s="150" t="s">
        <v>11</v>
      </c>
      <c r="C6" s="151" t="s">
        <v>12</v>
      </c>
      <c r="D6" s="152" t="s">
        <v>13</v>
      </c>
      <c r="E6" s="152" t="s">
        <v>14</v>
      </c>
      <c r="F6" s="152" t="s">
        <v>15</v>
      </c>
      <c r="G6" s="152" t="s">
        <v>13</v>
      </c>
      <c r="H6" s="146"/>
      <c r="I6"/>
      <c r="J6"/>
      <c r="K6"/>
      <c r="L6"/>
      <c r="M6"/>
      <c r="N6"/>
      <c r="O6" s="153"/>
      <c r="P6" s="153"/>
    </row>
    <row r="7" spans="1:21" s="142" customFormat="1" ht="16.5">
      <c r="A7" s="206"/>
      <c r="B7" s="154" t="s">
        <v>16</v>
      </c>
      <c r="C7" s="151" t="s">
        <v>17</v>
      </c>
      <c r="D7" s="152" t="s">
        <v>18</v>
      </c>
      <c r="E7" s="152" t="s">
        <v>19</v>
      </c>
      <c r="F7" s="152" t="s">
        <v>20</v>
      </c>
      <c r="G7" s="152" t="s">
        <v>21</v>
      </c>
      <c r="H7" s="146"/>
      <c r="I7"/>
      <c r="J7"/>
      <c r="K7"/>
      <c r="L7"/>
      <c r="M7"/>
      <c r="N7"/>
      <c r="O7" s="155"/>
      <c r="P7" s="155"/>
    </row>
    <row r="8" spans="1:21" s="142" customFormat="1" ht="16.5">
      <c r="A8" s="206"/>
      <c r="B8" s="156" t="s">
        <v>22</v>
      </c>
      <c r="C8" s="149" t="s">
        <v>17</v>
      </c>
      <c r="D8" s="157"/>
      <c r="E8" s="157"/>
      <c r="F8" s="157"/>
      <c r="G8" s="157"/>
      <c r="H8" s="146"/>
      <c r="I8"/>
      <c r="J8"/>
      <c r="K8"/>
      <c r="L8"/>
      <c r="M8"/>
      <c r="N8"/>
      <c r="O8" s="158"/>
      <c r="P8" s="155"/>
      <c r="R8" s="159"/>
    </row>
    <row r="9" spans="1:21" s="142" customFormat="1" ht="33">
      <c r="A9" s="206"/>
      <c r="B9" s="160" t="s">
        <v>23</v>
      </c>
      <c r="C9" s="151" t="s">
        <v>17</v>
      </c>
      <c r="D9" s="7" t="s">
        <v>24</v>
      </c>
      <c r="E9" s="7" t="s">
        <v>25</v>
      </c>
      <c r="F9" s="7" t="s">
        <v>25</v>
      </c>
      <c r="G9" s="7" t="s">
        <v>26</v>
      </c>
      <c r="H9" s="161" t="s">
        <v>27</v>
      </c>
    </row>
    <row r="10" spans="1:21" s="142" customFormat="1" ht="16.5">
      <c r="A10" s="206"/>
      <c r="B10" s="160" t="s">
        <v>28</v>
      </c>
      <c r="C10" s="151" t="s">
        <v>17</v>
      </c>
      <c r="D10" s="7" t="s">
        <v>29</v>
      </c>
      <c r="E10" s="152" t="s">
        <v>25</v>
      </c>
      <c r="F10" s="152" t="s">
        <v>25</v>
      </c>
      <c r="G10" s="152" t="s">
        <v>30</v>
      </c>
      <c r="H10" s="162"/>
      <c r="I10" s="163"/>
      <c r="J10" s="163"/>
      <c r="K10" s="163"/>
      <c r="L10" s="163"/>
      <c r="M10" s="163"/>
      <c r="N10" s="163"/>
      <c r="O10" s="163"/>
      <c r="P10" s="163"/>
      <c r="Q10" s="163"/>
      <c r="R10" s="163"/>
    </row>
    <row r="11" spans="1:21" s="143" customFormat="1" ht="16.5">
      <c r="A11" s="206"/>
      <c r="B11" s="164" t="s">
        <v>31</v>
      </c>
      <c r="C11" s="118" t="s">
        <v>32</v>
      </c>
      <c r="D11" s="152" t="s">
        <v>33</v>
      </c>
      <c r="E11" s="152" t="s">
        <v>34</v>
      </c>
      <c r="F11" s="152" t="s">
        <v>35</v>
      </c>
      <c r="G11" s="152" t="s">
        <v>36</v>
      </c>
      <c r="H11" s="165"/>
      <c r="P11" s="166"/>
    </row>
    <row r="12" spans="1:21" s="142" customFormat="1" ht="16.5">
      <c r="A12" s="206"/>
      <c r="B12" s="160" t="s">
        <v>37</v>
      </c>
      <c r="C12" s="149" t="s">
        <v>38</v>
      </c>
      <c r="D12" s="152" t="s">
        <v>39</v>
      </c>
      <c r="E12" s="152" t="s">
        <v>40</v>
      </c>
      <c r="F12" s="152" t="s">
        <v>41</v>
      </c>
      <c r="G12" s="152" t="s">
        <v>42</v>
      </c>
      <c r="H12" s="167"/>
    </row>
    <row r="13" spans="1:21" s="142" customFormat="1" ht="16.5">
      <c r="A13" s="206"/>
      <c r="B13" s="168" t="s">
        <v>43</v>
      </c>
      <c r="C13" s="149" t="s">
        <v>32</v>
      </c>
      <c r="D13" s="152" t="s">
        <v>44</v>
      </c>
      <c r="E13" s="152" t="s">
        <v>45</v>
      </c>
      <c r="F13" s="152" t="s">
        <v>46</v>
      </c>
      <c r="G13" s="152" t="s">
        <v>47</v>
      </c>
      <c r="H13" s="169"/>
    </row>
    <row r="14" spans="1:21" s="142" customFormat="1" ht="16.5">
      <c r="A14" s="207"/>
      <c r="B14" s="170" t="s">
        <v>48</v>
      </c>
      <c r="C14" s="149" t="s">
        <v>17</v>
      </c>
      <c r="D14" s="152" t="s">
        <v>25</v>
      </c>
      <c r="E14" s="152" t="s">
        <v>49</v>
      </c>
      <c r="F14" s="152" t="s">
        <v>50</v>
      </c>
      <c r="G14" s="152" t="s">
        <v>51</v>
      </c>
      <c r="H14" s="171"/>
      <c r="I14" s="172"/>
      <c r="J14" s="172"/>
    </row>
    <row r="15" spans="1:21" s="142" customFormat="1" ht="33">
      <c r="A15" s="205" t="s">
        <v>52</v>
      </c>
      <c r="B15" s="170" t="s">
        <v>53</v>
      </c>
      <c r="C15" s="149" t="s">
        <v>12</v>
      </c>
      <c r="D15" s="7" t="s">
        <v>54</v>
      </c>
      <c r="E15" s="7" t="s">
        <v>55</v>
      </c>
      <c r="F15" s="7" t="s">
        <v>56</v>
      </c>
      <c r="G15" s="7" t="s">
        <v>57</v>
      </c>
      <c r="H15" s="173"/>
      <c r="J15" s="159"/>
      <c r="L15" s="159"/>
      <c r="M15" s="159"/>
      <c r="N15" s="159"/>
      <c r="P15" s="174"/>
      <c r="R15" s="159"/>
    </row>
    <row r="16" spans="1:21" s="144" customFormat="1" ht="16.5">
      <c r="A16" s="206"/>
      <c r="B16" s="175" t="s">
        <v>58</v>
      </c>
      <c r="C16" s="149" t="s">
        <v>12</v>
      </c>
      <c r="D16" s="157" t="s">
        <v>59</v>
      </c>
      <c r="E16" s="7"/>
      <c r="F16" s="7"/>
      <c r="G16" s="7"/>
      <c r="H16" s="176"/>
      <c r="I16" s="177"/>
      <c r="J16" s="177"/>
      <c r="K16" s="178"/>
      <c r="L16" s="178"/>
      <c r="M16" s="178"/>
      <c r="N16" s="178"/>
      <c r="O16" s="179"/>
      <c r="P16" s="179"/>
      <c r="Q16" s="178"/>
      <c r="R16" s="178"/>
      <c r="S16" s="178"/>
      <c r="U16" s="178"/>
    </row>
    <row r="17" spans="1:21" s="144" customFormat="1" ht="16.5">
      <c r="A17" s="206"/>
      <c r="B17" s="170" t="s">
        <v>60</v>
      </c>
      <c r="C17" s="149" t="s">
        <v>12</v>
      </c>
      <c r="D17" s="7" t="s">
        <v>61</v>
      </c>
      <c r="E17" s="7" t="s">
        <v>62</v>
      </c>
      <c r="F17" s="7" t="s">
        <v>63</v>
      </c>
      <c r="G17" s="7" t="s">
        <v>64</v>
      </c>
      <c r="H17" s="180"/>
      <c r="I17" s="178"/>
      <c r="J17" s="178"/>
      <c r="K17" s="178"/>
      <c r="L17" s="178"/>
      <c r="M17" s="178"/>
      <c r="N17" s="178"/>
      <c r="O17" s="178"/>
      <c r="P17" s="178"/>
      <c r="Q17" s="178"/>
      <c r="R17" s="178"/>
      <c r="S17" s="178"/>
      <c r="U17" s="178"/>
    </row>
    <row r="18" spans="1:21" s="144" customFormat="1" ht="16.5">
      <c r="A18" s="206"/>
      <c r="B18" s="170" t="s">
        <v>65</v>
      </c>
      <c r="C18" s="149" t="s">
        <v>12</v>
      </c>
      <c r="D18" s="181" t="s">
        <v>66</v>
      </c>
      <c r="E18" s="7" t="s">
        <v>25</v>
      </c>
      <c r="F18" s="7" t="s">
        <v>25</v>
      </c>
      <c r="G18" s="7" t="s">
        <v>25</v>
      </c>
      <c r="H18" s="182"/>
      <c r="I18" s="183"/>
      <c r="J18" s="183"/>
      <c r="K18" s="178"/>
      <c r="L18" s="178"/>
      <c r="M18" s="178"/>
      <c r="N18" s="178"/>
      <c r="O18" s="178"/>
      <c r="P18" s="178"/>
      <c r="Q18" s="178"/>
      <c r="R18" s="178"/>
      <c r="S18" s="178"/>
      <c r="U18" s="178"/>
    </row>
    <row r="19" spans="1:21" s="142" customFormat="1" ht="33">
      <c r="A19" s="206"/>
      <c r="B19" s="170" t="s">
        <v>67</v>
      </c>
      <c r="C19" s="149" t="s">
        <v>12</v>
      </c>
      <c r="D19" s="152" t="s">
        <v>68</v>
      </c>
      <c r="E19" s="152" t="s">
        <v>69</v>
      </c>
      <c r="F19" s="152" t="s">
        <v>70</v>
      </c>
      <c r="G19" s="152" t="s">
        <v>71</v>
      </c>
      <c r="H19" s="184" t="s">
        <v>72</v>
      </c>
      <c r="I19" s="159"/>
      <c r="K19" s="159"/>
      <c r="M19" s="159"/>
      <c r="O19" s="159"/>
      <c r="Q19" s="159"/>
      <c r="S19" s="159"/>
      <c r="U19" s="159"/>
    </row>
    <row r="20" spans="1:21" s="142" customFormat="1" ht="16.5">
      <c r="A20" s="206"/>
      <c r="B20" s="160" t="s">
        <v>73</v>
      </c>
      <c r="C20" s="149" t="s">
        <v>12</v>
      </c>
      <c r="D20" s="152" t="s">
        <v>74</v>
      </c>
      <c r="E20" s="152" t="s">
        <v>69</v>
      </c>
      <c r="F20" s="152" t="s">
        <v>70</v>
      </c>
      <c r="G20" s="152" t="s">
        <v>71</v>
      </c>
      <c r="H20" s="180"/>
      <c r="I20" s="129"/>
      <c r="J20" s="185"/>
    </row>
    <row r="21" spans="1:21" s="142" customFormat="1" ht="16.5">
      <c r="A21" s="206"/>
      <c r="B21" s="170" t="s">
        <v>75</v>
      </c>
      <c r="C21" s="149" t="s">
        <v>12</v>
      </c>
      <c r="D21" s="152" t="s">
        <v>76</v>
      </c>
      <c r="E21" s="152" t="s">
        <v>69</v>
      </c>
      <c r="F21" s="152" t="s">
        <v>70</v>
      </c>
      <c r="G21" s="152" t="s">
        <v>71</v>
      </c>
      <c r="H21" s="186"/>
      <c r="I21" s="187"/>
      <c r="J21" s="187"/>
    </row>
    <row r="22" spans="1:21" s="142" customFormat="1" ht="33">
      <c r="A22" s="206"/>
      <c r="B22" s="170" t="s">
        <v>77</v>
      </c>
      <c r="C22" s="149" t="s">
        <v>12</v>
      </c>
      <c r="D22" s="152" t="s">
        <v>78</v>
      </c>
      <c r="E22" s="152" t="s">
        <v>69</v>
      </c>
      <c r="F22" s="152" t="s">
        <v>70</v>
      </c>
      <c r="G22" s="152" t="s">
        <v>71</v>
      </c>
      <c r="H22" s="186"/>
      <c r="J22" s="187"/>
    </row>
    <row r="23" spans="1:21" s="142" customFormat="1" ht="16.5">
      <c r="A23" s="206"/>
      <c r="B23" s="170" t="s">
        <v>79</v>
      </c>
      <c r="C23" s="149" t="s">
        <v>12</v>
      </c>
      <c r="D23" s="152" t="s">
        <v>80</v>
      </c>
      <c r="E23" s="152" t="s">
        <v>69</v>
      </c>
      <c r="F23" s="152" t="s">
        <v>70</v>
      </c>
      <c r="G23" s="152" t="s">
        <v>71</v>
      </c>
      <c r="H23" s="186"/>
      <c r="J23" s="187"/>
    </row>
    <row r="24" spans="1:21" s="142" customFormat="1" ht="16.5">
      <c r="A24" s="206"/>
      <c r="B24" s="170" t="s">
        <v>81</v>
      </c>
      <c r="C24" s="149" t="s">
        <v>12</v>
      </c>
      <c r="D24" s="188" t="s">
        <v>66</v>
      </c>
      <c r="E24" s="152" t="s">
        <v>69</v>
      </c>
      <c r="F24" s="152" t="s">
        <v>70</v>
      </c>
      <c r="G24" s="152" t="s">
        <v>71</v>
      </c>
      <c r="H24" s="189"/>
      <c r="I24" s="159"/>
      <c r="J24" s="159"/>
      <c r="K24" s="159"/>
      <c r="L24" s="159"/>
      <c r="M24" s="159"/>
      <c r="N24" s="159"/>
      <c r="O24" s="159"/>
      <c r="P24" s="159"/>
      <c r="Q24" s="159"/>
      <c r="R24" s="159"/>
      <c r="S24" s="159"/>
      <c r="T24" s="159"/>
    </row>
    <row r="25" spans="1:21" s="142" customFormat="1" ht="16.5">
      <c r="A25" s="206"/>
      <c r="B25" s="170" t="s">
        <v>82</v>
      </c>
      <c r="C25" s="149" t="s">
        <v>12</v>
      </c>
      <c r="D25" s="188" t="s">
        <v>66</v>
      </c>
      <c r="E25" s="152" t="s">
        <v>69</v>
      </c>
      <c r="F25" s="152" t="s">
        <v>70</v>
      </c>
      <c r="G25" s="152" t="s">
        <v>71</v>
      </c>
      <c r="H25" s="189"/>
      <c r="I25" s="159"/>
      <c r="J25" s="159"/>
      <c r="K25" s="159"/>
      <c r="L25" s="159"/>
      <c r="M25" s="159"/>
      <c r="N25" s="159"/>
      <c r="O25" s="159"/>
      <c r="P25" s="159"/>
      <c r="Q25" s="159"/>
      <c r="R25" s="159"/>
      <c r="T25" s="159"/>
    </row>
    <row r="26" spans="1:21" s="142" customFormat="1" ht="16.5">
      <c r="A26" s="206"/>
      <c r="B26" s="170" t="s">
        <v>83</v>
      </c>
      <c r="C26" s="149" t="s">
        <v>12</v>
      </c>
      <c r="D26" s="152" t="s">
        <v>84</v>
      </c>
      <c r="E26" s="152" t="s">
        <v>69</v>
      </c>
      <c r="F26" s="152" t="s">
        <v>70</v>
      </c>
      <c r="G26" s="152" t="s">
        <v>71</v>
      </c>
      <c r="H26" s="189"/>
      <c r="I26" s="159"/>
      <c r="J26" s="159"/>
      <c r="K26" s="159"/>
      <c r="L26" s="159"/>
      <c r="M26" s="159"/>
      <c r="N26" s="159"/>
      <c r="O26" s="159"/>
      <c r="P26" s="159"/>
      <c r="Q26" s="159"/>
      <c r="R26" s="159"/>
      <c r="T26" s="159"/>
    </row>
    <row r="27" spans="1:21" s="142" customFormat="1" ht="16.5">
      <c r="A27" s="206"/>
      <c r="B27" s="170" t="s">
        <v>85</v>
      </c>
      <c r="C27" s="149" t="s">
        <v>12</v>
      </c>
      <c r="D27" s="188" t="s">
        <v>66</v>
      </c>
      <c r="E27" s="152" t="s">
        <v>69</v>
      </c>
      <c r="F27" s="152" t="s">
        <v>70</v>
      </c>
      <c r="G27" s="152" t="s">
        <v>71</v>
      </c>
      <c r="H27" s="189"/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T27" s="159"/>
    </row>
    <row r="28" spans="1:21" s="142" customFormat="1" ht="16.5">
      <c r="A28" s="206"/>
      <c r="B28" s="170" t="s">
        <v>86</v>
      </c>
      <c r="C28" s="149" t="s">
        <v>12</v>
      </c>
      <c r="D28" s="188" t="s">
        <v>66</v>
      </c>
      <c r="E28" s="152" t="s">
        <v>69</v>
      </c>
      <c r="F28" s="152" t="s">
        <v>70</v>
      </c>
      <c r="G28" s="152" t="s">
        <v>71</v>
      </c>
      <c r="H28" s="189"/>
      <c r="I28" s="159"/>
      <c r="J28" s="159"/>
      <c r="K28" s="159"/>
      <c r="L28" s="159"/>
      <c r="M28" s="159"/>
      <c r="N28" s="159"/>
      <c r="O28" s="159"/>
      <c r="P28" s="159"/>
      <c r="Q28" s="159"/>
      <c r="R28" s="159"/>
      <c r="T28" s="159"/>
    </row>
    <row r="29" spans="1:21" s="142" customFormat="1" ht="16.5">
      <c r="A29" s="206"/>
      <c r="B29" s="170" t="s">
        <v>87</v>
      </c>
      <c r="C29" s="149" t="s">
        <v>12</v>
      </c>
      <c r="D29" s="188" t="s">
        <v>66</v>
      </c>
      <c r="E29" s="152" t="s">
        <v>69</v>
      </c>
      <c r="F29" s="152" t="s">
        <v>70</v>
      </c>
      <c r="G29" s="152" t="s">
        <v>71</v>
      </c>
      <c r="H29" s="167"/>
    </row>
    <row r="30" spans="1:21" s="142" customFormat="1" ht="16.5">
      <c r="A30" s="206"/>
      <c r="B30" s="170" t="s">
        <v>88</v>
      </c>
      <c r="C30" s="149" t="s">
        <v>12</v>
      </c>
      <c r="D30" s="188" t="s">
        <v>66</v>
      </c>
      <c r="E30" s="152" t="s">
        <v>69</v>
      </c>
      <c r="F30" s="152" t="s">
        <v>70</v>
      </c>
      <c r="G30" s="152" t="s">
        <v>71</v>
      </c>
      <c r="H30" s="167"/>
    </row>
    <row r="31" spans="1:21" s="142" customFormat="1" ht="16.5">
      <c r="A31" s="206"/>
      <c r="B31" s="170" t="s">
        <v>89</v>
      </c>
      <c r="C31" s="149" t="s">
        <v>12</v>
      </c>
      <c r="D31" s="152" t="s">
        <v>90</v>
      </c>
      <c r="E31" s="152" t="s">
        <v>69</v>
      </c>
      <c r="F31" s="152" t="s">
        <v>70</v>
      </c>
      <c r="G31" s="152" t="s">
        <v>71</v>
      </c>
      <c r="H31" s="167"/>
    </row>
    <row r="32" spans="1:21" s="142" customFormat="1" ht="16.5">
      <c r="A32" s="206"/>
      <c r="B32" s="170" t="s">
        <v>91</v>
      </c>
      <c r="C32" s="149" t="s">
        <v>12</v>
      </c>
      <c r="D32" s="188" t="s">
        <v>66</v>
      </c>
      <c r="E32" s="152" t="s">
        <v>69</v>
      </c>
      <c r="F32" s="152" t="s">
        <v>70</v>
      </c>
      <c r="G32" s="152" t="s">
        <v>71</v>
      </c>
      <c r="H32" s="167"/>
    </row>
    <row r="33" spans="1:21" s="142" customFormat="1" ht="16.5">
      <c r="A33" s="206"/>
      <c r="B33" s="170" t="s">
        <v>92</v>
      </c>
      <c r="C33" s="149" t="s">
        <v>12</v>
      </c>
      <c r="D33" s="188" t="s">
        <v>66</v>
      </c>
      <c r="E33" s="152" t="s">
        <v>69</v>
      </c>
      <c r="F33" s="152" t="s">
        <v>70</v>
      </c>
      <c r="G33" s="152" t="s">
        <v>71</v>
      </c>
      <c r="H33" s="167"/>
    </row>
    <row r="34" spans="1:21" s="142" customFormat="1" ht="16.5">
      <c r="A34" s="206"/>
      <c r="B34" s="170" t="s">
        <v>93</v>
      </c>
      <c r="C34" s="149" t="s">
        <v>12</v>
      </c>
      <c r="D34" s="188" t="s">
        <v>66</v>
      </c>
      <c r="E34" s="152" t="s">
        <v>69</v>
      </c>
      <c r="F34" s="152" t="s">
        <v>70</v>
      </c>
      <c r="G34" s="152" t="s">
        <v>71</v>
      </c>
      <c r="H34" s="167"/>
    </row>
    <row r="35" spans="1:21" s="142" customFormat="1" ht="16.5">
      <c r="A35" s="206"/>
      <c r="B35" s="170" t="s">
        <v>94</v>
      </c>
      <c r="C35" s="149" t="s">
        <v>12</v>
      </c>
      <c r="D35" s="188" t="s">
        <v>66</v>
      </c>
      <c r="E35" s="152" t="s">
        <v>69</v>
      </c>
      <c r="F35" s="152" t="s">
        <v>70</v>
      </c>
      <c r="G35" s="152" t="s">
        <v>71</v>
      </c>
      <c r="H35" s="167"/>
    </row>
    <row r="36" spans="1:21" s="142" customFormat="1" ht="16.5">
      <c r="A36" s="206"/>
      <c r="B36" s="170" t="s">
        <v>95</v>
      </c>
      <c r="C36" s="149" t="s">
        <v>12</v>
      </c>
      <c r="D36" s="152" t="s">
        <v>96</v>
      </c>
      <c r="E36" s="152" t="s">
        <v>69</v>
      </c>
      <c r="F36" s="152" t="s">
        <v>70</v>
      </c>
      <c r="G36" s="152" t="s">
        <v>71</v>
      </c>
      <c r="H36" s="167"/>
    </row>
    <row r="37" spans="1:21" s="142" customFormat="1" ht="16.5">
      <c r="A37" s="206"/>
      <c r="B37" s="170" t="s">
        <v>97</v>
      </c>
      <c r="C37" s="149" t="s">
        <v>12</v>
      </c>
      <c r="D37" s="188" t="s">
        <v>66</v>
      </c>
      <c r="E37" s="152" t="s">
        <v>69</v>
      </c>
      <c r="F37" s="152" t="s">
        <v>70</v>
      </c>
      <c r="G37" s="152" t="s">
        <v>71</v>
      </c>
      <c r="H37" s="167"/>
    </row>
    <row r="38" spans="1:21" s="142" customFormat="1" ht="16.5">
      <c r="A38" s="206"/>
      <c r="B38" s="170" t="s">
        <v>98</v>
      </c>
      <c r="C38" s="149" t="s">
        <v>12</v>
      </c>
      <c r="D38" s="188" t="s">
        <v>66</v>
      </c>
      <c r="E38" s="152" t="s">
        <v>69</v>
      </c>
      <c r="F38" s="152" t="s">
        <v>70</v>
      </c>
      <c r="G38" s="152" t="s">
        <v>71</v>
      </c>
      <c r="H38" s="167"/>
    </row>
    <row r="39" spans="1:21" s="142" customFormat="1" ht="33">
      <c r="A39" s="206"/>
      <c r="B39" s="170" t="s">
        <v>99</v>
      </c>
      <c r="C39" s="149" t="s">
        <v>17</v>
      </c>
      <c r="D39" s="190" t="s">
        <v>100</v>
      </c>
      <c r="E39" s="190" t="s">
        <v>101</v>
      </c>
      <c r="F39" s="190" t="s">
        <v>102</v>
      </c>
      <c r="G39" s="190" t="s">
        <v>103</v>
      </c>
      <c r="H39" s="167"/>
    </row>
    <row r="40" spans="1:21" s="142" customFormat="1" ht="16.5">
      <c r="A40" s="206"/>
      <c r="B40" s="170" t="s">
        <v>104</v>
      </c>
      <c r="C40" s="149" t="s">
        <v>105</v>
      </c>
      <c r="D40" s="191" t="s">
        <v>106</v>
      </c>
      <c r="E40" s="191" t="s">
        <v>106</v>
      </c>
      <c r="F40" s="191" t="s">
        <v>106</v>
      </c>
      <c r="G40" s="191" t="s">
        <v>106</v>
      </c>
      <c r="H40" s="192"/>
      <c r="I40" s="193"/>
      <c r="J40" s="193"/>
      <c r="K40" s="193"/>
      <c r="L40" s="193"/>
      <c r="M40" s="193"/>
      <c r="N40" s="193"/>
      <c r="O40" s="193"/>
      <c r="P40" s="193"/>
      <c r="Q40" s="193"/>
      <c r="R40" s="193"/>
      <c r="S40" s="193"/>
      <c r="T40" s="193"/>
      <c r="U40" s="193"/>
    </row>
    <row r="41" spans="1:21" s="142" customFormat="1" ht="16.5">
      <c r="A41" s="206"/>
      <c r="B41" s="170" t="s">
        <v>107</v>
      </c>
      <c r="C41" s="149" t="s">
        <v>12</v>
      </c>
      <c r="D41" s="188" t="s">
        <v>66</v>
      </c>
      <c r="E41" s="152" t="s">
        <v>69</v>
      </c>
      <c r="F41" s="152" t="s">
        <v>70</v>
      </c>
      <c r="G41" s="152" t="s">
        <v>71</v>
      </c>
      <c r="H41" s="167"/>
    </row>
    <row r="42" spans="1:21" s="142" customFormat="1" ht="16.5">
      <c r="A42" s="206"/>
      <c r="B42" s="170" t="s">
        <v>108</v>
      </c>
      <c r="C42" s="149" t="s">
        <v>12</v>
      </c>
      <c r="D42" s="152" t="s">
        <v>109</v>
      </c>
      <c r="E42" s="152" t="s">
        <v>109</v>
      </c>
      <c r="F42" s="152" t="s">
        <v>109</v>
      </c>
      <c r="G42" s="152" t="s">
        <v>109</v>
      </c>
      <c r="H42" s="167" t="s">
        <v>110</v>
      </c>
    </row>
    <row r="43" spans="1:21" s="142" customFormat="1" ht="16.5">
      <c r="A43" s="206"/>
      <c r="B43" s="170" t="s">
        <v>111</v>
      </c>
      <c r="C43" s="149" t="s">
        <v>17</v>
      </c>
      <c r="D43" s="191" t="s">
        <v>112</v>
      </c>
      <c r="E43" s="191" t="s">
        <v>112</v>
      </c>
      <c r="F43" s="191" t="s">
        <v>112</v>
      </c>
      <c r="G43" s="191" t="s">
        <v>112</v>
      </c>
      <c r="H43" s="167"/>
    </row>
    <row r="44" spans="1:21" s="142" customFormat="1" ht="33">
      <c r="A44" s="206"/>
      <c r="B44" s="170" t="s">
        <v>113</v>
      </c>
      <c r="C44" s="149" t="s">
        <v>12</v>
      </c>
      <c r="D44" s="152" t="s">
        <v>114</v>
      </c>
      <c r="E44" s="152" t="s">
        <v>115</v>
      </c>
      <c r="F44" s="152" t="s">
        <v>116</v>
      </c>
      <c r="G44" s="152" t="s">
        <v>117</v>
      </c>
      <c r="H44" s="167"/>
    </row>
    <row r="45" spans="1:21" s="142" customFormat="1" ht="16.5">
      <c r="A45" s="206"/>
      <c r="B45" s="170" t="s">
        <v>118</v>
      </c>
      <c r="C45" s="149" t="s">
        <v>12</v>
      </c>
      <c r="D45" s="152" t="s">
        <v>119</v>
      </c>
      <c r="E45" s="152" t="s">
        <v>120</v>
      </c>
      <c r="F45" s="152" t="s">
        <v>121</v>
      </c>
      <c r="G45" s="152" t="s">
        <v>122</v>
      </c>
      <c r="H45" s="167"/>
    </row>
    <row r="46" spans="1:21" s="142" customFormat="1" ht="16.5">
      <c r="A46" s="206"/>
      <c r="B46" s="170" t="s">
        <v>123</v>
      </c>
      <c r="C46" s="149" t="s">
        <v>12</v>
      </c>
      <c r="D46" s="152" t="s">
        <v>124</v>
      </c>
      <c r="E46" s="152" t="s">
        <v>125</v>
      </c>
      <c r="F46" s="152" t="s">
        <v>126</v>
      </c>
      <c r="G46" s="152" t="s">
        <v>127</v>
      </c>
      <c r="H46" s="167"/>
    </row>
    <row r="47" spans="1:21" s="142" customFormat="1" ht="33">
      <c r="A47" s="205" t="s">
        <v>128</v>
      </c>
      <c r="B47" s="170" t="s">
        <v>129</v>
      </c>
      <c r="C47" s="149" t="s">
        <v>130</v>
      </c>
      <c r="D47" s="188" t="s">
        <v>131</v>
      </c>
      <c r="E47" s="152" t="s">
        <v>132</v>
      </c>
      <c r="F47" s="152" t="s">
        <v>133</v>
      </c>
      <c r="G47" s="152" t="s">
        <v>134</v>
      </c>
      <c r="H47" s="167"/>
    </row>
    <row r="48" spans="1:21" s="142" customFormat="1" ht="33">
      <c r="A48" s="206"/>
      <c r="B48" s="170" t="s">
        <v>135</v>
      </c>
      <c r="C48" s="149" t="s">
        <v>136</v>
      </c>
      <c r="D48" s="152" t="s">
        <v>137</v>
      </c>
      <c r="E48" s="152" t="s">
        <v>138</v>
      </c>
      <c r="F48" s="152" t="s">
        <v>139</v>
      </c>
      <c r="G48" s="152" t="s">
        <v>140</v>
      </c>
      <c r="H48" s="167"/>
    </row>
    <row r="49" spans="1:8" s="142" customFormat="1" ht="33">
      <c r="A49" s="206"/>
      <c r="B49" s="170" t="s">
        <v>141</v>
      </c>
      <c r="C49" s="149" t="s">
        <v>142</v>
      </c>
      <c r="D49" s="152" t="s">
        <v>143</v>
      </c>
      <c r="E49" s="152" t="s">
        <v>144</v>
      </c>
      <c r="F49" s="152" t="s">
        <v>145</v>
      </c>
      <c r="G49" s="152" t="s">
        <v>146</v>
      </c>
      <c r="H49" s="167"/>
    </row>
    <row r="50" spans="1:8" s="142" customFormat="1" ht="33">
      <c r="A50" s="206"/>
      <c r="B50" s="170" t="s">
        <v>147</v>
      </c>
      <c r="C50" s="149" t="s">
        <v>148</v>
      </c>
      <c r="D50" s="152" t="s">
        <v>149</v>
      </c>
      <c r="E50" s="152" t="s">
        <v>150</v>
      </c>
      <c r="F50" s="152" t="s">
        <v>151</v>
      </c>
      <c r="G50" s="152" t="s">
        <v>152</v>
      </c>
      <c r="H50" s="167"/>
    </row>
    <row r="51" spans="1:8" s="142" customFormat="1" ht="16.5">
      <c r="A51" s="206"/>
      <c r="B51" s="170" t="s">
        <v>153</v>
      </c>
      <c r="C51" s="149" t="s">
        <v>12</v>
      </c>
      <c r="D51" s="152" t="s">
        <v>154</v>
      </c>
      <c r="E51" s="152" t="s">
        <v>155</v>
      </c>
      <c r="F51" s="152" t="s">
        <v>156</v>
      </c>
      <c r="G51" s="152" t="s">
        <v>157</v>
      </c>
      <c r="H51" s="167"/>
    </row>
    <row r="52" spans="1:8" s="142" customFormat="1" ht="49.5">
      <c r="A52" s="206"/>
      <c r="B52" s="170" t="s">
        <v>158</v>
      </c>
      <c r="C52" s="149" t="s">
        <v>159</v>
      </c>
      <c r="D52" s="7" t="s">
        <v>160</v>
      </c>
      <c r="E52" s="7" t="s">
        <v>161</v>
      </c>
      <c r="F52" s="7" t="s">
        <v>162</v>
      </c>
      <c r="G52" s="7" t="s">
        <v>163</v>
      </c>
      <c r="H52" s="167"/>
    </row>
    <row r="53" spans="1:8" s="142" customFormat="1" ht="16.5">
      <c r="A53" s="206"/>
      <c r="B53" s="170" t="s">
        <v>164</v>
      </c>
      <c r="C53" s="149" t="s">
        <v>165</v>
      </c>
      <c r="D53" s="188" t="s">
        <v>66</v>
      </c>
      <c r="E53" s="152" t="s">
        <v>166</v>
      </c>
      <c r="F53" s="152" t="s">
        <v>167</v>
      </c>
      <c r="G53" s="152" t="s">
        <v>71</v>
      </c>
      <c r="H53" s="167"/>
    </row>
    <row r="54" spans="1:8" s="142" customFormat="1" ht="16.5">
      <c r="A54" s="206"/>
      <c r="B54" s="170" t="s">
        <v>168</v>
      </c>
      <c r="C54" s="149" t="s">
        <v>12</v>
      </c>
      <c r="D54" s="152" t="s">
        <v>169</v>
      </c>
      <c r="E54" s="152" t="s">
        <v>170</v>
      </c>
      <c r="F54" s="152" t="s">
        <v>171</v>
      </c>
      <c r="G54" s="152" t="s">
        <v>172</v>
      </c>
      <c r="H54" s="167"/>
    </row>
    <row r="55" spans="1:8" s="142" customFormat="1" ht="16.5">
      <c r="A55" s="207"/>
      <c r="B55" s="170" t="s">
        <v>173</v>
      </c>
      <c r="C55" s="149" t="s">
        <v>174</v>
      </c>
      <c r="D55" s="152" t="s">
        <v>175</v>
      </c>
      <c r="E55" s="152" t="s">
        <v>176</v>
      </c>
      <c r="F55" s="152" t="s">
        <v>177</v>
      </c>
      <c r="G55" s="152" t="s">
        <v>178</v>
      </c>
      <c r="H55" s="167"/>
    </row>
    <row r="56" spans="1:8" s="142" customFormat="1" ht="33">
      <c r="A56" s="205" t="s">
        <v>179</v>
      </c>
      <c r="B56" s="170" t="s">
        <v>180</v>
      </c>
      <c r="C56" s="149" t="s">
        <v>181</v>
      </c>
      <c r="D56" s="188" t="s">
        <v>66</v>
      </c>
      <c r="E56" s="7" t="s">
        <v>182</v>
      </c>
      <c r="F56" s="7" t="s">
        <v>183</v>
      </c>
      <c r="G56" s="7" t="s">
        <v>184</v>
      </c>
      <c r="H56" s="167"/>
    </row>
    <row r="57" spans="1:8" s="142" customFormat="1" ht="16.5">
      <c r="A57" s="206"/>
      <c r="B57" s="170" t="s">
        <v>185</v>
      </c>
      <c r="C57" s="149" t="s">
        <v>130</v>
      </c>
      <c r="D57" s="188" t="s">
        <v>66</v>
      </c>
      <c r="E57" s="152" t="s">
        <v>166</v>
      </c>
      <c r="F57" s="7" t="s">
        <v>167</v>
      </c>
      <c r="G57" s="7" t="s">
        <v>71</v>
      </c>
      <c r="H57" s="167"/>
    </row>
    <row r="58" spans="1:8" s="142" customFormat="1" ht="33">
      <c r="A58" s="206"/>
      <c r="B58" s="170" t="s">
        <v>186</v>
      </c>
      <c r="C58" s="149" t="s">
        <v>12</v>
      </c>
      <c r="D58" s="7" t="s">
        <v>187</v>
      </c>
      <c r="E58" s="7" t="s">
        <v>188</v>
      </c>
      <c r="F58" s="7" t="s">
        <v>189</v>
      </c>
      <c r="G58" s="7" t="s">
        <v>190</v>
      </c>
      <c r="H58" s="167"/>
    </row>
    <row r="59" spans="1:8" s="142" customFormat="1" ht="82.5">
      <c r="A59" s="206"/>
      <c r="B59" s="170" t="s">
        <v>191</v>
      </c>
      <c r="C59" s="149" t="s">
        <v>17</v>
      </c>
      <c r="D59" s="7" t="s">
        <v>192</v>
      </c>
      <c r="E59" s="7" t="s">
        <v>193</v>
      </c>
      <c r="F59" s="7" t="s">
        <v>194</v>
      </c>
      <c r="G59" s="7" t="s">
        <v>195</v>
      </c>
      <c r="H59" s="167"/>
    </row>
    <row r="60" spans="1:8" s="142" customFormat="1" ht="33">
      <c r="A60" s="206"/>
      <c r="B60" s="170" t="s">
        <v>196</v>
      </c>
      <c r="C60" s="149" t="s">
        <v>17</v>
      </c>
      <c r="D60" s="7" t="s">
        <v>197</v>
      </c>
      <c r="E60" s="7" t="s">
        <v>198</v>
      </c>
      <c r="F60" s="7" t="s">
        <v>199</v>
      </c>
      <c r="G60" s="7" t="s">
        <v>200</v>
      </c>
      <c r="H60" s="167"/>
    </row>
    <row r="61" spans="1:8" s="142" customFormat="1" ht="16.5">
      <c r="A61" s="207"/>
      <c r="B61" s="170" t="s">
        <v>201</v>
      </c>
      <c r="C61" s="149" t="s">
        <v>17</v>
      </c>
      <c r="D61" s="7" t="s">
        <v>202</v>
      </c>
      <c r="E61" s="7" t="s">
        <v>25</v>
      </c>
      <c r="F61" s="7" t="s">
        <v>25</v>
      </c>
      <c r="G61" s="7" t="s">
        <v>203</v>
      </c>
      <c r="H61" s="167"/>
    </row>
    <row r="62" spans="1:8" s="142" customFormat="1" ht="16.5">
      <c r="A62" s="206" t="s">
        <v>204</v>
      </c>
      <c r="B62" s="170" t="s">
        <v>205</v>
      </c>
      <c r="C62" s="122" t="s">
        <v>206</v>
      </c>
      <c r="D62" s="188" t="s">
        <v>66</v>
      </c>
      <c r="E62" s="7" t="s">
        <v>207</v>
      </c>
      <c r="F62" s="7" t="s">
        <v>208</v>
      </c>
      <c r="G62" s="152" t="s">
        <v>71</v>
      </c>
      <c r="H62" s="167"/>
    </row>
    <row r="63" spans="1:8" s="142" customFormat="1" ht="16.5">
      <c r="A63" s="206"/>
      <c r="B63" s="170" t="s">
        <v>209</v>
      </c>
      <c r="C63" s="122" t="s">
        <v>206</v>
      </c>
      <c r="D63" s="188" t="s">
        <v>66</v>
      </c>
      <c r="E63" s="7" t="s">
        <v>210</v>
      </c>
      <c r="F63" s="7" t="s">
        <v>211</v>
      </c>
      <c r="G63" s="152" t="s">
        <v>71</v>
      </c>
      <c r="H63" s="167"/>
    </row>
    <row r="64" spans="1:8" s="142" customFormat="1" ht="16.5">
      <c r="A64" s="207"/>
      <c r="B64" s="170" t="s">
        <v>212</v>
      </c>
      <c r="C64" s="122" t="s">
        <v>206</v>
      </c>
      <c r="D64" s="188" t="s">
        <v>66</v>
      </c>
      <c r="E64" s="7" t="s">
        <v>213</v>
      </c>
      <c r="F64" s="7" t="s">
        <v>214</v>
      </c>
      <c r="G64" s="152" t="s">
        <v>71</v>
      </c>
      <c r="H64" s="167"/>
    </row>
    <row r="65" spans="1:8" s="142" customFormat="1" ht="16.5">
      <c r="A65" s="208" t="s">
        <v>215</v>
      </c>
      <c r="B65" s="194" t="s">
        <v>216</v>
      </c>
      <c r="C65" s="122" t="s">
        <v>12</v>
      </c>
      <c r="D65" s="152" t="s">
        <v>25</v>
      </c>
      <c r="E65" s="152" t="s">
        <v>25</v>
      </c>
      <c r="F65" s="152" t="s">
        <v>25</v>
      </c>
      <c r="G65" s="152" t="s">
        <v>217</v>
      </c>
      <c r="H65" s="167"/>
    </row>
    <row r="66" spans="1:8" s="142" customFormat="1" ht="16.5">
      <c r="A66" s="208"/>
      <c r="B66" s="194" t="s">
        <v>218</v>
      </c>
      <c r="C66" s="122" t="s">
        <v>12</v>
      </c>
      <c r="D66" s="152" t="s">
        <v>25</v>
      </c>
      <c r="E66" s="152" t="s">
        <v>25</v>
      </c>
      <c r="F66" s="152" t="s">
        <v>25</v>
      </c>
      <c r="G66" s="152" t="s">
        <v>219</v>
      </c>
      <c r="H66" s="167"/>
    </row>
    <row r="67" spans="1:8" s="142" customFormat="1" ht="33">
      <c r="A67" s="208"/>
      <c r="B67" s="194" t="s">
        <v>220</v>
      </c>
      <c r="C67" s="122" t="s">
        <v>12</v>
      </c>
      <c r="D67" s="152" t="s">
        <v>25</v>
      </c>
      <c r="E67" s="152" t="s">
        <v>25</v>
      </c>
      <c r="F67" s="152" t="s">
        <v>25</v>
      </c>
      <c r="G67" s="152" t="s">
        <v>221</v>
      </c>
      <c r="H67" s="167"/>
    </row>
    <row r="68" spans="1:8" s="142" customFormat="1" ht="16.5">
      <c r="A68" s="208"/>
      <c r="B68" s="194" t="s">
        <v>222</v>
      </c>
      <c r="C68" s="122" t="s">
        <v>12</v>
      </c>
      <c r="D68" s="152" t="s">
        <v>25</v>
      </c>
      <c r="E68" s="152" t="s">
        <v>25</v>
      </c>
      <c r="F68" s="152" t="s">
        <v>25</v>
      </c>
      <c r="G68" s="152" t="s">
        <v>223</v>
      </c>
      <c r="H68" s="167"/>
    </row>
    <row r="69" spans="1:8" s="142" customFormat="1" ht="16.5">
      <c r="A69" s="208"/>
      <c r="B69" s="194" t="s">
        <v>224</v>
      </c>
      <c r="C69" s="122" t="s">
        <v>12</v>
      </c>
      <c r="D69" s="152" t="s">
        <v>25</v>
      </c>
      <c r="E69" s="152" t="s">
        <v>25</v>
      </c>
      <c r="F69" s="152" t="s">
        <v>25</v>
      </c>
      <c r="G69" s="152" t="s">
        <v>25</v>
      </c>
      <c r="H69" s="167"/>
    </row>
    <row r="70" spans="1:8" s="142" customFormat="1" ht="16.5">
      <c r="A70" s="208"/>
      <c r="B70" s="194" t="s">
        <v>225</v>
      </c>
      <c r="C70" s="122" t="s">
        <v>12</v>
      </c>
      <c r="D70" s="152" t="s">
        <v>25</v>
      </c>
      <c r="E70" s="152" t="s">
        <v>25</v>
      </c>
      <c r="F70" s="152" t="s">
        <v>25</v>
      </c>
      <c r="G70" s="152" t="s">
        <v>25</v>
      </c>
      <c r="H70" s="167"/>
    </row>
    <row r="71" spans="1:8" s="142" customFormat="1" ht="16.5">
      <c r="A71" s="208"/>
      <c r="B71" s="194" t="s">
        <v>226</v>
      </c>
      <c r="C71" s="122" t="s">
        <v>12</v>
      </c>
      <c r="D71" s="152" t="s">
        <v>25</v>
      </c>
      <c r="E71" s="152" t="s">
        <v>25</v>
      </c>
      <c r="F71" s="152" t="s">
        <v>25</v>
      </c>
      <c r="G71" s="152" t="s">
        <v>227</v>
      </c>
      <c r="H71" s="167"/>
    </row>
    <row r="72" spans="1:8" s="142" customFormat="1" ht="33">
      <c r="A72" s="208"/>
      <c r="B72" s="170" t="s">
        <v>228</v>
      </c>
      <c r="C72" s="122" t="s">
        <v>12</v>
      </c>
      <c r="D72" s="152" t="s">
        <v>25</v>
      </c>
      <c r="E72" s="152" t="s">
        <v>25</v>
      </c>
      <c r="F72" s="152" t="s">
        <v>25</v>
      </c>
      <c r="G72" s="152" t="s">
        <v>229</v>
      </c>
      <c r="H72" s="167"/>
    </row>
    <row r="73" spans="1:8" s="142" customFormat="1" ht="33">
      <c r="A73" s="208"/>
      <c r="B73" s="170" t="s">
        <v>123</v>
      </c>
      <c r="C73" s="122" t="s">
        <v>12</v>
      </c>
      <c r="D73" s="152" t="s">
        <v>25</v>
      </c>
      <c r="E73" s="152" t="s">
        <v>25</v>
      </c>
      <c r="F73" s="152" t="s">
        <v>25</v>
      </c>
      <c r="G73" s="195" t="s">
        <v>230</v>
      </c>
      <c r="H73" s="167"/>
    </row>
    <row r="74" spans="1:8" s="142" customFormat="1" ht="33">
      <c r="A74" s="208"/>
      <c r="B74" s="194" t="s">
        <v>231</v>
      </c>
      <c r="C74" s="122" t="s">
        <v>12</v>
      </c>
      <c r="D74" s="152" t="s">
        <v>25</v>
      </c>
      <c r="E74" s="152" t="s">
        <v>25</v>
      </c>
      <c r="F74" s="152" t="s">
        <v>25</v>
      </c>
      <c r="G74" s="152" t="s">
        <v>232</v>
      </c>
      <c r="H74" s="167"/>
    </row>
    <row r="75" spans="1:8" s="142" customFormat="1" ht="16.5">
      <c r="A75" s="208"/>
      <c r="B75" s="194" t="s">
        <v>233</v>
      </c>
      <c r="C75" s="122" t="s">
        <v>12</v>
      </c>
      <c r="D75" s="152" t="s">
        <v>25</v>
      </c>
      <c r="E75" s="152" t="s">
        <v>25</v>
      </c>
      <c r="F75" s="152" t="s">
        <v>25</v>
      </c>
      <c r="G75" s="152" t="s">
        <v>25</v>
      </c>
      <c r="H75" s="167"/>
    </row>
    <row r="76" spans="1:8" s="142" customFormat="1" ht="27" customHeight="1">
      <c r="A76" s="196" t="s">
        <v>234</v>
      </c>
      <c r="B76" s="202" t="s">
        <v>66</v>
      </c>
      <c r="C76" s="203"/>
      <c r="D76" s="203"/>
      <c r="E76" s="203"/>
      <c r="F76" s="203"/>
      <c r="G76" s="204"/>
      <c r="H76" s="167"/>
    </row>
    <row r="77" spans="1:8" s="142" customFormat="1">
      <c r="A77"/>
      <c r="B77"/>
      <c r="C77"/>
      <c r="D77" s="128"/>
      <c r="E77" s="128"/>
      <c r="F77" s="128"/>
      <c r="G77" s="128"/>
      <c r="H77" s="129"/>
    </row>
    <row r="78" spans="1:8" s="142" customFormat="1">
      <c r="A78"/>
      <c r="B78"/>
      <c r="C78"/>
      <c r="D78" s="128"/>
      <c r="E78" s="128"/>
      <c r="F78" s="128"/>
      <c r="G78" s="128"/>
      <c r="H78" s="129"/>
    </row>
    <row r="79" spans="1:8" s="142" customFormat="1">
      <c r="A79"/>
      <c r="B79"/>
      <c r="C79"/>
      <c r="D79" s="128"/>
      <c r="E79" s="128"/>
      <c r="F79" s="128"/>
      <c r="G79" s="128"/>
      <c r="H79" s="129"/>
    </row>
    <row r="80" spans="1:8" s="142" customFormat="1">
      <c r="A80"/>
      <c r="B80"/>
      <c r="C80"/>
      <c r="D80" s="128"/>
      <c r="E80" s="128"/>
      <c r="F80" s="128"/>
      <c r="G80" s="128"/>
      <c r="H80" s="129"/>
    </row>
    <row r="81" spans="1:8" s="142" customFormat="1">
      <c r="A81"/>
      <c r="B81"/>
      <c r="C81"/>
      <c r="D81" s="128"/>
      <c r="E81" s="128"/>
      <c r="F81" s="128"/>
      <c r="G81" s="128"/>
      <c r="H81" s="129"/>
    </row>
    <row r="82" spans="1:8" s="142" customFormat="1">
      <c r="A82"/>
      <c r="B82"/>
      <c r="C82"/>
      <c r="D82" s="128"/>
      <c r="E82" s="128"/>
      <c r="F82" s="128"/>
      <c r="G82" s="128"/>
      <c r="H82" s="129"/>
    </row>
    <row r="83" spans="1:8" s="142" customFormat="1">
      <c r="A83"/>
      <c r="B83"/>
      <c r="C83"/>
      <c r="D83" s="128"/>
      <c r="E83" s="128"/>
      <c r="F83" s="128"/>
      <c r="G83" s="128"/>
      <c r="H83" s="129"/>
    </row>
    <row r="84" spans="1:8" s="142" customFormat="1">
      <c r="A84"/>
      <c r="B84"/>
      <c r="C84"/>
      <c r="D84" s="128"/>
      <c r="E84" s="128"/>
      <c r="F84" s="128"/>
      <c r="G84" s="128"/>
      <c r="H84" s="129"/>
    </row>
  </sheetData>
  <mergeCells count="11">
    <mergeCell ref="A1:G1"/>
    <mergeCell ref="A2:G2"/>
    <mergeCell ref="D3:G3"/>
    <mergeCell ref="B76:G76"/>
    <mergeCell ref="A6:A14"/>
    <mergeCell ref="A15:A46"/>
    <mergeCell ref="A47:A55"/>
    <mergeCell ref="A56:A61"/>
    <mergeCell ref="A62:A64"/>
    <mergeCell ref="A65:A75"/>
    <mergeCell ref="A3:C4"/>
  </mergeCells>
  <phoneticPr fontId="26" type="noConversion"/>
  <pageMargins left="0.75" right="0.75" top="1" bottom="1" header="0.5" footer="0.5"/>
  <pageSetup paperSize="9" orientation="portrait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"/>
  <sheetViews>
    <sheetView topLeftCell="B1" zoomScale="80" zoomScaleNormal="80" workbookViewId="0">
      <selection activeCell="E16" sqref="E16"/>
    </sheetView>
  </sheetViews>
  <sheetFormatPr defaultColWidth="9.25" defaultRowHeight="13.5"/>
  <cols>
    <col min="2" max="2" width="27.875" customWidth="1"/>
    <col min="3" max="3" width="20.125" customWidth="1"/>
    <col min="4" max="4" width="18.75" customWidth="1"/>
    <col min="5" max="5" width="14.125" customWidth="1"/>
    <col min="6" max="6" width="16.25" customWidth="1"/>
    <col min="7" max="7" width="17.75" customWidth="1"/>
    <col min="8" max="9" width="12.75" customWidth="1"/>
    <col min="10" max="10" width="16.375" customWidth="1"/>
    <col min="11" max="11" width="14.75" customWidth="1"/>
    <col min="12" max="12" width="13.25" customWidth="1"/>
    <col min="13" max="13" width="13.75" customWidth="1"/>
    <col min="14" max="14" width="15.375" customWidth="1"/>
    <col min="15" max="15" width="12.125" customWidth="1"/>
    <col min="16" max="16" width="15" customWidth="1"/>
    <col min="17" max="17" width="12.125" customWidth="1"/>
    <col min="18" max="18" width="11.75" customWidth="1"/>
    <col min="19" max="19" width="14" customWidth="1"/>
  </cols>
  <sheetData>
    <row r="1" spans="1:19" ht="42" customHeight="1">
      <c r="A1" s="215"/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</row>
    <row r="2" spans="1:19" ht="45.95" customHeight="1">
      <c r="A2" s="216" t="s">
        <v>235</v>
      </c>
      <c r="B2" s="216"/>
      <c r="C2" s="216"/>
      <c r="D2" s="216"/>
      <c r="E2" s="216"/>
      <c r="F2" s="216"/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</row>
    <row r="3" spans="1:19" s="128" customFormat="1" ht="27">
      <c r="A3" s="130"/>
      <c r="B3" s="131" t="s">
        <v>236</v>
      </c>
      <c r="C3" s="131" t="s">
        <v>237</v>
      </c>
      <c r="D3" s="131" t="s">
        <v>238</v>
      </c>
      <c r="E3" s="131" t="s">
        <v>239</v>
      </c>
      <c r="F3" s="131" t="s">
        <v>240</v>
      </c>
      <c r="G3" s="131" t="s">
        <v>241</v>
      </c>
      <c r="H3" s="132" t="s">
        <v>242</v>
      </c>
      <c r="I3" s="132" t="s">
        <v>243</v>
      </c>
      <c r="J3" s="132" t="s">
        <v>244</v>
      </c>
      <c r="K3" s="132" t="s">
        <v>245</v>
      </c>
      <c r="L3" s="132" t="s">
        <v>246</v>
      </c>
      <c r="M3" s="132" t="s">
        <v>247</v>
      </c>
      <c r="N3" s="132" t="s">
        <v>248</v>
      </c>
      <c r="O3" s="132" t="s">
        <v>249</v>
      </c>
      <c r="P3" s="132" t="s">
        <v>250</v>
      </c>
      <c r="Q3" s="132" t="s">
        <v>251</v>
      </c>
      <c r="R3" s="132" t="s">
        <v>252</v>
      </c>
      <c r="S3" s="132" t="s">
        <v>253</v>
      </c>
    </row>
    <row r="4" spans="1:19" ht="67.5">
      <c r="A4" s="133" t="s">
        <v>254</v>
      </c>
      <c r="B4" s="134" t="s">
        <v>255</v>
      </c>
      <c r="C4" s="134" t="s">
        <v>255</v>
      </c>
      <c r="D4" s="135" t="s">
        <v>256</v>
      </c>
      <c r="E4" s="136" t="s">
        <v>257</v>
      </c>
      <c r="F4" s="136" t="s">
        <v>257</v>
      </c>
      <c r="G4" s="135" t="s">
        <v>258</v>
      </c>
      <c r="H4" s="137" t="s">
        <v>259</v>
      </c>
      <c r="I4" s="137" t="s">
        <v>259</v>
      </c>
      <c r="J4" s="138" t="s">
        <v>255</v>
      </c>
      <c r="K4" s="139" t="s">
        <v>260</v>
      </c>
      <c r="L4" s="139" t="s">
        <v>261</v>
      </c>
      <c r="M4" s="139" t="s">
        <v>262</v>
      </c>
      <c r="N4" s="139" t="s">
        <v>263</v>
      </c>
      <c r="O4" s="139" t="s">
        <v>264</v>
      </c>
      <c r="P4" s="139" t="s">
        <v>265</v>
      </c>
      <c r="Q4" s="139" t="s">
        <v>266</v>
      </c>
      <c r="R4" s="140" t="s">
        <v>25</v>
      </c>
      <c r="S4" s="139" t="s">
        <v>267</v>
      </c>
    </row>
    <row r="5" spans="1:19" ht="67.5">
      <c r="A5" s="133" t="s">
        <v>268</v>
      </c>
      <c r="B5" s="134" t="s">
        <v>255</v>
      </c>
      <c r="C5" s="134" t="s">
        <v>255</v>
      </c>
      <c r="D5" s="135" t="s">
        <v>269</v>
      </c>
      <c r="E5" s="136" t="s">
        <v>270</v>
      </c>
      <c r="F5" s="136" t="s">
        <v>270</v>
      </c>
      <c r="G5" s="135" t="s">
        <v>271</v>
      </c>
      <c r="H5" s="137" t="s">
        <v>259</v>
      </c>
      <c r="I5" s="137" t="s">
        <v>259</v>
      </c>
      <c r="J5" s="138" t="s">
        <v>255</v>
      </c>
      <c r="K5" s="139" t="s">
        <v>272</v>
      </c>
      <c r="L5" s="139" t="s">
        <v>273</v>
      </c>
      <c r="M5" s="139" t="s">
        <v>274</v>
      </c>
      <c r="N5" s="139" t="s">
        <v>275</v>
      </c>
      <c r="O5" s="139" t="s">
        <v>276</v>
      </c>
      <c r="P5" s="139" t="s">
        <v>277</v>
      </c>
      <c r="Q5" s="139" t="s">
        <v>278</v>
      </c>
      <c r="R5" s="140" t="s">
        <v>25</v>
      </c>
      <c r="S5" s="139" t="s">
        <v>267</v>
      </c>
    </row>
    <row r="6" spans="1:19" ht="54">
      <c r="A6" s="141" t="s">
        <v>279</v>
      </c>
      <c r="B6" s="136" t="s">
        <v>280</v>
      </c>
      <c r="C6" s="136" t="s">
        <v>281</v>
      </c>
      <c r="D6" s="135" t="s">
        <v>282</v>
      </c>
      <c r="E6" s="136" t="s">
        <v>283</v>
      </c>
      <c r="F6" s="136" t="s">
        <v>284</v>
      </c>
      <c r="G6" s="135" t="s">
        <v>285</v>
      </c>
      <c r="H6" s="137" t="s">
        <v>259</v>
      </c>
      <c r="I6" s="137" t="s">
        <v>259</v>
      </c>
      <c r="J6" s="139" t="s">
        <v>286</v>
      </c>
      <c r="K6" s="139" t="s">
        <v>287</v>
      </c>
      <c r="L6" s="139" t="s">
        <v>288</v>
      </c>
      <c r="M6" s="139" t="s">
        <v>289</v>
      </c>
      <c r="N6" s="139" t="s">
        <v>290</v>
      </c>
      <c r="O6" s="139" t="s">
        <v>291</v>
      </c>
      <c r="P6" s="139" t="s">
        <v>292</v>
      </c>
      <c r="Q6" s="139" t="s">
        <v>293</v>
      </c>
      <c r="R6" s="140" t="s">
        <v>25</v>
      </c>
      <c r="S6" s="139" t="s">
        <v>267</v>
      </c>
    </row>
    <row r="9" spans="1:19">
      <c r="B9" s="125" t="s">
        <v>294</v>
      </c>
    </row>
  </sheetData>
  <mergeCells count="2">
    <mergeCell ref="A1:S1"/>
    <mergeCell ref="A2:S2"/>
  </mergeCells>
  <phoneticPr fontId="26" type="noConversion"/>
  <pageMargins left="0.75" right="0.75" top="1" bottom="1" header="0.5" footer="0.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selection activeCell="G7" sqref="G7"/>
    </sheetView>
  </sheetViews>
  <sheetFormatPr defaultColWidth="9.25" defaultRowHeight="13.5"/>
  <cols>
    <col min="2" max="2" width="22.875" customWidth="1"/>
    <col min="3" max="3" width="19.5" customWidth="1"/>
    <col min="4" max="4" width="20.5" customWidth="1"/>
    <col min="5" max="5" width="27.75" customWidth="1"/>
    <col min="6" max="6" width="38.125" customWidth="1"/>
    <col min="7" max="7" width="26.625" customWidth="1"/>
  </cols>
  <sheetData>
    <row r="1" spans="1:7" ht="38.1" customHeight="1">
      <c r="A1" s="217"/>
      <c r="B1" s="217"/>
      <c r="C1" s="217"/>
      <c r="D1" s="217"/>
      <c r="E1" s="217"/>
      <c r="F1" s="217"/>
    </row>
    <row r="2" spans="1:7" ht="29.1" customHeight="1">
      <c r="A2" s="218" t="s">
        <v>295</v>
      </c>
      <c r="B2" s="218"/>
      <c r="C2" s="218"/>
      <c r="D2" s="218"/>
      <c r="E2" s="218"/>
      <c r="F2" s="218"/>
    </row>
    <row r="3" spans="1:7" ht="24.95" customHeight="1">
      <c r="A3" s="219" t="s">
        <v>296</v>
      </c>
      <c r="B3" s="119"/>
      <c r="C3" s="119"/>
      <c r="D3" s="120" t="s">
        <v>6</v>
      </c>
      <c r="E3" s="120" t="s">
        <v>297</v>
      </c>
      <c r="F3" s="120" t="s">
        <v>298</v>
      </c>
    </row>
    <row r="4" spans="1:7" ht="33">
      <c r="A4" s="219"/>
      <c r="B4" s="121" t="s">
        <v>299</v>
      </c>
      <c r="C4" s="122" t="s">
        <v>12</v>
      </c>
      <c r="D4" s="123" t="s">
        <v>25</v>
      </c>
      <c r="E4" s="123" t="s">
        <v>300</v>
      </c>
      <c r="F4" s="124" t="s">
        <v>301</v>
      </c>
      <c r="G4" s="125"/>
    </row>
    <row r="5" spans="1:7" ht="33">
      <c r="A5" s="219"/>
      <c r="B5" s="121" t="s">
        <v>302</v>
      </c>
      <c r="C5" s="122" t="s">
        <v>12</v>
      </c>
      <c r="D5" s="126" t="s">
        <v>303</v>
      </c>
      <c r="E5" s="123" t="s">
        <v>304</v>
      </c>
      <c r="F5" s="124" t="s">
        <v>305</v>
      </c>
    </row>
    <row r="6" spans="1:7" ht="33">
      <c r="A6" s="219"/>
      <c r="B6" s="121" t="s">
        <v>306</v>
      </c>
      <c r="C6" s="122" t="s">
        <v>12</v>
      </c>
      <c r="D6" s="126" t="s">
        <v>303</v>
      </c>
      <c r="E6" s="123" t="s">
        <v>307</v>
      </c>
      <c r="F6" s="124" t="s">
        <v>308</v>
      </c>
    </row>
    <row r="7" spans="1:7" ht="33">
      <c r="A7" s="219"/>
      <c r="B7" s="121" t="s">
        <v>309</v>
      </c>
      <c r="C7" s="122" t="s">
        <v>12</v>
      </c>
      <c r="D7" s="126" t="s">
        <v>303</v>
      </c>
      <c r="E7" s="123" t="s">
        <v>310</v>
      </c>
      <c r="F7" s="124" t="s">
        <v>311</v>
      </c>
    </row>
    <row r="8" spans="1:7" ht="33">
      <c r="A8" s="219"/>
      <c r="B8" s="121" t="s">
        <v>312</v>
      </c>
      <c r="C8" s="122" t="s">
        <v>12</v>
      </c>
      <c r="D8" s="126" t="s">
        <v>303</v>
      </c>
      <c r="E8" s="123" t="s">
        <v>313</v>
      </c>
      <c r="F8" s="124" t="s">
        <v>314</v>
      </c>
    </row>
    <row r="9" spans="1:7" ht="33">
      <c r="A9" s="219"/>
      <c r="B9" s="121" t="s">
        <v>315</v>
      </c>
      <c r="C9" s="122" t="s">
        <v>12</v>
      </c>
      <c r="D9" s="126" t="s">
        <v>303</v>
      </c>
      <c r="E9" s="123" t="s">
        <v>316</v>
      </c>
      <c r="F9" s="124" t="s">
        <v>317</v>
      </c>
    </row>
    <row r="10" spans="1:7" ht="33">
      <c r="A10" s="219"/>
      <c r="B10" s="121" t="s">
        <v>318</v>
      </c>
      <c r="C10" s="122" t="s">
        <v>12</v>
      </c>
      <c r="D10" s="126" t="s">
        <v>303</v>
      </c>
      <c r="E10" s="123" t="s">
        <v>319</v>
      </c>
      <c r="F10" s="124" t="s">
        <v>320</v>
      </c>
    </row>
    <row r="11" spans="1:7" ht="33">
      <c r="A11" s="219"/>
      <c r="B11" s="121" t="s">
        <v>321</v>
      </c>
      <c r="C11" s="122" t="s">
        <v>12</v>
      </c>
      <c r="D11" s="123" t="s">
        <v>322</v>
      </c>
      <c r="E11" s="123" t="s">
        <v>323</v>
      </c>
      <c r="F11" s="124" t="s">
        <v>324</v>
      </c>
    </row>
    <row r="12" spans="1:7" ht="33">
      <c r="A12" s="219"/>
      <c r="B12" s="121" t="s">
        <v>325</v>
      </c>
      <c r="C12" s="122" t="s">
        <v>12</v>
      </c>
      <c r="D12" s="126" t="s">
        <v>303</v>
      </c>
      <c r="E12" s="123" t="s">
        <v>326</v>
      </c>
      <c r="F12" s="124" t="s">
        <v>327</v>
      </c>
    </row>
    <row r="13" spans="1:7" ht="33">
      <c r="A13" s="219"/>
      <c r="B13" s="121" t="s">
        <v>328</v>
      </c>
      <c r="C13" s="122" t="s">
        <v>12</v>
      </c>
      <c r="D13" s="126" t="s">
        <v>303</v>
      </c>
      <c r="E13" s="123" t="s">
        <v>329</v>
      </c>
      <c r="F13" s="124" t="s">
        <v>330</v>
      </c>
      <c r="G13" s="125"/>
    </row>
    <row r="15" spans="1:7">
      <c r="B15" s="127"/>
    </row>
  </sheetData>
  <mergeCells count="3">
    <mergeCell ref="A1:F1"/>
    <mergeCell ref="A2:F2"/>
    <mergeCell ref="A3:A13"/>
  </mergeCells>
  <phoneticPr fontId="26" type="noConversion"/>
  <pageMargins left="0.75" right="0.75" top="1" bottom="1" header="0.5" footer="0.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83"/>
  <sheetViews>
    <sheetView workbookViewId="0">
      <selection activeCell="D7" sqref="D7"/>
    </sheetView>
  </sheetViews>
  <sheetFormatPr defaultColWidth="9" defaultRowHeight="12"/>
  <cols>
    <col min="1" max="1" width="7.75" style="3" customWidth="1"/>
    <col min="2" max="2" width="28.375" style="3" customWidth="1"/>
    <col min="3" max="3" width="11.125" style="3" customWidth="1"/>
    <col min="4" max="4" width="17.625" style="4" customWidth="1"/>
    <col min="5" max="5" width="19.125" style="4" customWidth="1"/>
    <col min="6" max="6" width="13.75" style="1" customWidth="1"/>
    <col min="7" max="7" width="11.5" style="1" customWidth="1"/>
    <col min="8" max="8" width="10.5" style="1" customWidth="1"/>
    <col min="9" max="9" width="10.5" style="5" customWidth="1"/>
    <col min="10" max="10" width="12.375" style="5" customWidth="1"/>
    <col min="11" max="11" width="8.75" style="5" customWidth="1"/>
    <col min="12" max="17" width="9" style="1"/>
    <col min="18" max="18" width="12.375" style="1" customWidth="1"/>
    <col min="19" max="19" width="13.375" style="1" customWidth="1"/>
    <col min="20" max="16384" width="9" style="1"/>
  </cols>
  <sheetData>
    <row r="1" spans="1:24" ht="17.100000000000001" customHeight="1">
      <c r="A1" s="198" t="s">
        <v>0</v>
      </c>
      <c r="B1" s="198"/>
      <c r="C1" s="198"/>
      <c r="D1" s="198"/>
      <c r="E1" s="198"/>
    </row>
    <row r="2" spans="1:24" ht="15" customHeight="1">
      <c r="A2" s="220" t="s">
        <v>1</v>
      </c>
      <c r="B2" s="221"/>
      <c r="C2" s="222"/>
      <c r="D2" s="223" t="s">
        <v>331</v>
      </c>
      <c r="E2" s="224"/>
      <c r="G2" s="1" t="s">
        <v>332</v>
      </c>
      <c r="H2" s="6" t="s">
        <v>6</v>
      </c>
      <c r="I2" s="6" t="s">
        <v>297</v>
      </c>
      <c r="J2" s="6"/>
    </row>
    <row r="3" spans="1:24" ht="15" customHeight="1">
      <c r="A3" s="7" t="s">
        <v>3</v>
      </c>
      <c r="B3" s="8" t="s">
        <v>4</v>
      </c>
      <c r="C3" s="8" t="s">
        <v>5</v>
      </c>
      <c r="D3" s="8" t="s">
        <v>6</v>
      </c>
      <c r="E3" s="8" t="s">
        <v>297</v>
      </c>
      <c r="G3" s="9" t="s">
        <v>11</v>
      </c>
      <c r="H3" s="10">
        <v>5816.7295999999997</v>
      </c>
      <c r="I3" s="10">
        <f>H3+'[1]2025.11.1'!I3</f>
        <v>86662.742140000002</v>
      </c>
      <c r="J3" s="11">
        <f>I3</f>
        <v>86662.742140000002</v>
      </c>
      <c r="K3" s="12"/>
      <c r="L3" s="13" t="s">
        <v>236</v>
      </c>
      <c r="M3" s="13" t="s">
        <v>237</v>
      </c>
      <c r="N3" s="13" t="s">
        <v>238</v>
      </c>
      <c r="O3" s="13" t="s">
        <v>239</v>
      </c>
      <c r="P3" s="13" t="s">
        <v>240</v>
      </c>
      <c r="Q3" s="13" t="s">
        <v>241</v>
      </c>
    </row>
    <row r="4" spans="1:24" ht="15" customHeight="1">
      <c r="A4" s="226" t="s">
        <v>10</v>
      </c>
      <c r="B4" s="9" t="s">
        <v>11</v>
      </c>
      <c r="C4" s="14" t="s">
        <v>12</v>
      </c>
      <c r="D4" s="15">
        <f>23602.0608+H3</f>
        <v>29418.790400000002</v>
      </c>
      <c r="E4" s="16">
        <f>D4+'[1]2025.11.1'!E4</f>
        <v>576212.21970999998</v>
      </c>
      <c r="F4" s="17">
        <f>E4</f>
        <v>576212.21970999998</v>
      </c>
      <c r="G4" s="18" t="s">
        <v>16</v>
      </c>
      <c r="H4" s="19">
        <v>12</v>
      </c>
      <c r="I4" s="19">
        <v>12.002000000000001</v>
      </c>
      <c r="J4" s="19"/>
      <c r="K4" s="20" t="s">
        <v>254</v>
      </c>
      <c r="L4" s="21">
        <v>26881.75</v>
      </c>
      <c r="M4" s="21">
        <v>23602.060799999999</v>
      </c>
      <c r="N4" s="22">
        <f t="shared" ref="N4:N6" si="0">(L4-M4)/L4*100</f>
        <v>12.2004304035266</v>
      </c>
      <c r="O4" s="21">
        <f>L4+'[1]2025.11.1'!O4</f>
        <v>557188.98</v>
      </c>
      <c r="P4" s="21">
        <f>M4+'[1]2025.11.1'!P4</f>
        <v>489549.47756999999</v>
      </c>
      <c r="Q4" s="22">
        <f t="shared" ref="Q4:Q6" si="1">(O4-P4)/O4*100</f>
        <v>12.1394185559808</v>
      </c>
      <c r="R4" s="23">
        <f>O4</f>
        <v>557188.98</v>
      </c>
      <c r="S4" s="23">
        <f>P4</f>
        <v>489549.47756999999</v>
      </c>
    </row>
    <row r="5" spans="1:24" ht="15" customHeight="1">
      <c r="A5" s="227"/>
      <c r="B5" s="18" t="s">
        <v>16</v>
      </c>
      <c r="C5" s="24" t="s">
        <v>17</v>
      </c>
      <c r="D5" s="25">
        <f>N6</f>
        <v>12.160873435096001</v>
      </c>
      <c r="E5" s="25">
        <f>Q6</f>
        <v>12.118782549448101</v>
      </c>
      <c r="F5" s="17">
        <f>F4-I3</f>
        <v>489549.47756999999</v>
      </c>
      <c r="G5" s="26" t="s">
        <v>22</v>
      </c>
      <c r="H5" s="19">
        <v>0</v>
      </c>
      <c r="I5" s="19">
        <v>0</v>
      </c>
      <c r="J5" s="19"/>
      <c r="K5" s="20" t="s">
        <v>268</v>
      </c>
      <c r="L5" s="21">
        <v>6609.92</v>
      </c>
      <c r="M5" s="21">
        <v>5816.7295999999997</v>
      </c>
      <c r="N5" s="22">
        <f t="shared" si="0"/>
        <v>12</v>
      </c>
      <c r="O5" s="21">
        <f>L5+'[1]2025.11.1'!O5</f>
        <v>98482.66</v>
      </c>
      <c r="P5" s="21">
        <f>M5+'[1]2025.11.1'!P5</f>
        <v>86662.742140000002</v>
      </c>
      <c r="Q5" s="22">
        <f t="shared" si="1"/>
        <v>12.002029453713</v>
      </c>
      <c r="R5" s="27">
        <f>O5</f>
        <v>98482.66</v>
      </c>
      <c r="S5" s="27">
        <f>P5</f>
        <v>86662.742140000002</v>
      </c>
    </row>
    <row r="6" spans="1:24" ht="15" customHeight="1">
      <c r="A6" s="227"/>
      <c r="B6" s="26" t="s">
        <v>22</v>
      </c>
      <c r="C6" s="8" t="s">
        <v>17</v>
      </c>
      <c r="D6" s="28">
        <v>19.356000000000002</v>
      </c>
      <c r="E6" s="28">
        <v>24.780100000000001</v>
      </c>
      <c r="F6" s="29">
        <f>D4-H3</f>
        <v>23602.060799999999</v>
      </c>
      <c r="G6" s="30" t="s">
        <v>31</v>
      </c>
      <c r="H6" s="31">
        <v>340.27868699999999</v>
      </c>
      <c r="I6" s="31">
        <f>H6+'[1]2025.11.1'!I6</f>
        <v>5071.7641970000004</v>
      </c>
      <c r="J6" s="32">
        <f>I6</f>
        <v>5071.7641970000004</v>
      </c>
      <c r="K6" s="33" t="s">
        <v>279</v>
      </c>
      <c r="L6" s="34">
        <f t="shared" ref="L6:P6" si="2">SUM(L4:L5)</f>
        <v>33491.67</v>
      </c>
      <c r="M6" s="34">
        <f t="shared" si="2"/>
        <v>29418.790400000002</v>
      </c>
      <c r="N6" s="22">
        <f t="shared" si="0"/>
        <v>12.160873435096001</v>
      </c>
      <c r="O6" s="34">
        <f t="shared" si="2"/>
        <v>655671.64</v>
      </c>
      <c r="P6" s="34">
        <f t="shared" si="2"/>
        <v>576212.21970999998</v>
      </c>
      <c r="Q6" s="22">
        <f t="shared" si="1"/>
        <v>12.118782549448101</v>
      </c>
      <c r="R6" s="35"/>
      <c r="S6" s="36">
        <f>SUM(S4:S5)</f>
        <v>576212.21970999998</v>
      </c>
      <c r="U6" s="37"/>
    </row>
    <row r="7" spans="1:24" ht="15" customHeight="1">
      <c r="A7" s="227"/>
      <c r="B7" s="38" t="s">
        <v>23</v>
      </c>
      <c r="C7" s="39" t="s">
        <v>17</v>
      </c>
      <c r="D7" s="40">
        <v>15.98</v>
      </c>
      <c r="E7" s="40">
        <v>16.21</v>
      </c>
      <c r="F7" s="1">
        <f>F6*D6/100</f>
        <v>4568.4148884480001</v>
      </c>
      <c r="G7" s="41" t="s">
        <v>37</v>
      </c>
      <c r="H7" s="10">
        <f>H6/H3*10000</f>
        <v>585.00000928356701</v>
      </c>
      <c r="I7" s="10">
        <f>I6/I3*10000</f>
        <v>585.23006216521298</v>
      </c>
      <c r="J7" s="42"/>
    </row>
    <row r="8" spans="1:24" ht="15" customHeight="1">
      <c r="A8" s="227"/>
      <c r="B8" s="43" t="s">
        <v>28</v>
      </c>
      <c r="C8" s="14" t="s">
        <v>17</v>
      </c>
      <c r="D8" s="44">
        <v>15.7</v>
      </c>
      <c r="E8" s="44">
        <v>15.99</v>
      </c>
      <c r="F8" s="1">
        <f>F7*1.05</f>
        <v>4796.8356328704003</v>
      </c>
      <c r="G8" s="30" t="s">
        <v>43</v>
      </c>
      <c r="H8" s="19"/>
      <c r="I8" s="19"/>
      <c r="J8" s="6"/>
      <c r="K8" s="45"/>
      <c r="L8" s="46"/>
      <c r="M8" s="46"/>
      <c r="N8" s="46"/>
      <c r="O8" s="46"/>
      <c r="P8" s="46"/>
      <c r="Q8" s="46"/>
      <c r="R8" s="46"/>
      <c r="S8" s="46"/>
      <c r="T8" s="46"/>
      <c r="U8" s="46"/>
    </row>
    <row r="9" spans="1:24" ht="15" customHeight="1">
      <c r="A9" s="227"/>
      <c r="B9" s="30" t="s">
        <v>31</v>
      </c>
      <c r="C9" s="8" t="s">
        <v>32</v>
      </c>
      <c r="D9" s="28">
        <f>1336.899131+H6</f>
        <v>1677.1778179999999</v>
      </c>
      <c r="E9" s="47">
        <f>27872.400437+I6</f>
        <v>32944.164634000001</v>
      </c>
      <c r="F9" s="1">
        <f>F4-F5</f>
        <v>86662.742140000002</v>
      </c>
      <c r="G9" s="48" t="s">
        <v>48</v>
      </c>
      <c r="H9" s="19"/>
      <c r="I9" s="49"/>
      <c r="J9" s="50"/>
      <c r="S9" s="29"/>
    </row>
    <row r="10" spans="1:24" ht="15" customHeight="1">
      <c r="A10" s="227"/>
      <c r="B10" s="41" t="s">
        <v>37</v>
      </c>
      <c r="C10" s="8" t="s">
        <v>38</v>
      </c>
      <c r="D10" s="47">
        <f>D9/D4*10000</f>
        <v>570.10427525939303</v>
      </c>
      <c r="E10" s="47">
        <f>E9/E4*10000</f>
        <v>571.73665373810297</v>
      </c>
    </row>
    <row r="11" spans="1:24" ht="15" customHeight="1">
      <c r="A11" s="227"/>
      <c r="B11" s="30" t="s">
        <v>43</v>
      </c>
      <c r="C11" s="8" t="s">
        <v>32</v>
      </c>
      <c r="D11" s="47"/>
      <c r="E11" s="47">
        <v>4556.7984450000004</v>
      </c>
      <c r="K11" s="51"/>
    </row>
    <row r="12" spans="1:24" ht="15" customHeight="1">
      <c r="A12" s="228"/>
      <c r="B12" s="48" t="s">
        <v>48</v>
      </c>
      <c r="C12" s="8" t="s">
        <v>17</v>
      </c>
      <c r="D12" s="52" t="s">
        <v>25</v>
      </c>
      <c r="E12" s="47">
        <f>E11/E9*100%</f>
        <v>0.13831883417366</v>
      </c>
      <c r="I12" s="53"/>
      <c r="J12" s="53"/>
      <c r="K12" s="53"/>
      <c r="L12" s="54"/>
      <c r="M12" s="54"/>
    </row>
    <row r="13" spans="1:24" ht="15" customHeight="1">
      <c r="A13" s="226" t="s">
        <v>52</v>
      </c>
      <c r="B13" s="55" t="s">
        <v>53</v>
      </c>
      <c r="C13" s="56" t="s">
        <v>12</v>
      </c>
      <c r="D13" s="57">
        <f>23602.0608*D6/100</f>
        <v>4568.4148884480001</v>
      </c>
      <c r="E13" s="57">
        <f>F5*E6/100</f>
        <v>121310.850091324</v>
      </c>
      <c r="F13" s="54">
        <f>F5*E6/100</f>
        <v>121310.850091324</v>
      </c>
      <c r="G13" s="54">
        <f>F6*D6/100</f>
        <v>4568.4148884480001</v>
      </c>
      <c r="H13" s="37"/>
      <c r="I13" s="51"/>
      <c r="J13" s="51"/>
      <c r="K13" s="58"/>
      <c r="M13" s="37"/>
      <c r="O13" s="37"/>
      <c r="P13" s="37"/>
      <c r="Q13" s="37"/>
      <c r="S13" s="29"/>
      <c r="U13" s="37"/>
    </row>
    <row r="14" spans="1:24" s="2" customFormat="1" ht="15" customHeight="1">
      <c r="A14" s="227"/>
      <c r="B14" s="48" t="s">
        <v>58</v>
      </c>
      <c r="C14" s="8" t="s">
        <v>12</v>
      </c>
      <c r="D14" s="59"/>
      <c r="E14" s="59"/>
      <c r="F14" s="54">
        <f>D13+'[1]2025.11.1'!E13</f>
        <v>121310.608265338</v>
      </c>
      <c r="G14" s="60"/>
      <c r="H14" s="61"/>
      <c r="I14" s="62"/>
      <c r="J14" s="62"/>
      <c r="K14" s="62"/>
      <c r="L14" s="62"/>
      <c r="M14" s="62"/>
      <c r="N14" s="60"/>
      <c r="O14" s="60"/>
      <c r="P14" s="60"/>
      <c r="Q14" s="60"/>
      <c r="R14" s="61"/>
      <c r="S14" s="61"/>
      <c r="T14" s="60"/>
      <c r="U14" s="60"/>
      <c r="V14" s="60"/>
      <c r="X14" s="60"/>
    </row>
    <row r="15" spans="1:24" s="2" customFormat="1" ht="15" customHeight="1">
      <c r="A15" s="227"/>
      <c r="B15" s="63" t="s">
        <v>60</v>
      </c>
      <c r="C15" s="64" t="s">
        <v>12</v>
      </c>
      <c r="D15" s="65">
        <f>D14+D13</f>
        <v>4568.4148884480001</v>
      </c>
      <c r="E15" s="65">
        <f>E14+E13</f>
        <v>121310.850091324</v>
      </c>
      <c r="F15" s="17"/>
      <c r="G15" s="66"/>
      <c r="H15" s="60"/>
      <c r="I15" s="67"/>
      <c r="J15" s="67"/>
      <c r="K15" s="67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X15" s="60"/>
    </row>
    <row r="16" spans="1:24" s="2" customFormat="1" ht="15" customHeight="1">
      <c r="A16" s="227"/>
      <c r="B16" s="48" t="s">
        <v>65</v>
      </c>
      <c r="C16" s="8" t="s">
        <v>12</v>
      </c>
      <c r="D16" s="59">
        <v>140</v>
      </c>
      <c r="E16" s="59"/>
      <c r="F16" s="60"/>
      <c r="G16" s="60"/>
      <c r="H16" s="60"/>
      <c r="I16" s="68"/>
      <c r="J16" s="68"/>
      <c r="K16" s="68"/>
      <c r="L16" s="68"/>
      <c r="M16" s="68"/>
      <c r="N16" s="60"/>
      <c r="O16" s="60"/>
      <c r="P16" s="60"/>
      <c r="Q16" s="60"/>
      <c r="R16" s="60"/>
      <c r="S16" s="60"/>
      <c r="T16" s="60"/>
      <c r="U16" s="60"/>
      <c r="V16" s="60"/>
      <c r="X16" s="60"/>
    </row>
    <row r="17" spans="1:24" ht="15" customHeight="1">
      <c r="A17" s="227"/>
      <c r="B17" s="69" t="s">
        <v>67</v>
      </c>
      <c r="C17" s="70" t="s">
        <v>12</v>
      </c>
      <c r="D17" s="44">
        <f>D13*1.05+D14*1.03+'[1]2025.11.1'!D16-D16</f>
        <v>4656.8356328704003</v>
      </c>
      <c r="E17" s="44">
        <f>D17+'[1]2025.11.1'!E17</f>
        <v>127440.806604328</v>
      </c>
      <c r="F17" s="71"/>
      <c r="G17" s="72"/>
      <c r="I17" s="73"/>
      <c r="J17" s="73"/>
      <c r="K17" s="67"/>
      <c r="L17" s="37"/>
      <c r="N17" s="37"/>
      <c r="P17" s="37"/>
      <c r="R17" s="37"/>
      <c r="T17" s="37"/>
      <c r="V17" s="37"/>
      <c r="X17" s="37"/>
    </row>
    <row r="18" spans="1:24" ht="15" customHeight="1">
      <c r="A18" s="227"/>
      <c r="B18" s="74" t="s">
        <v>73</v>
      </c>
      <c r="C18" s="75" t="s">
        <v>12</v>
      </c>
      <c r="D18" s="76">
        <f>D19+D34</f>
        <v>652</v>
      </c>
      <c r="E18" s="76">
        <f>E19+E34</f>
        <v>16603.5</v>
      </c>
      <c r="F18" s="54"/>
      <c r="K18" s="67"/>
      <c r="L18" s="5"/>
      <c r="M18" s="67"/>
    </row>
    <row r="19" spans="1:24" ht="15" customHeight="1">
      <c r="A19" s="227"/>
      <c r="B19" s="77" t="s">
        <v>75</v>
      </c>
      <c r="C19" s="78" t="s">
        <v>12</v>
      </c>
      <c r="D19" s="79">
        <f>D20+D29+D32</f>
        <v>652</v>
      </c>
      <c r="E19" s="79">
        <f>E20+E29+E32</f>
        <v>16603.5</v>
      </c>
      <c r="G19" s="80"/>
      <c r="I19" s="52"/>
      <c r="J19" s="52"/>
      <c r="K19" s="81"/>
      <c r="L19" s="81"/>
      <c r="M19" s="81"/>
    </row>
    <row r="20" spans="1:24" ht="15.95" customHeight="1">
      <c r="A20" s="227"/>
      <c r="B20" s="48" t="s">
        <v>77</v>
      </c>
      <c r="C20" s="8" t="s">
        <v>12</v>
      </c>
      <c r="D20" s="47">
        <f>D21+D24</f>
        <v>294</v>
      </c>
      <c r="E20" s="47">
        <f>E21+E24</f>
        <v>7789.5</v>
      </c>
      <c r="K20" s="81"/>
      <c r="M20" s="81"/>
    </row>
    <row r="21" spans="1:24" ht="15" customHeight="1">
      <c r="A21" s="227"/>
      <c r="B21" s="77" t="s">
        <v>79</v>
      </c>
      <c r="C21" s="78" t="s">
        <v>12</v>
      </c>
      <c r="D21" s="82">
        <f>D22+D23</f>
        <v>294</v>
      </c>
      <c r="E21" s="82">
        <f>E22+E23</f>
        <v>7789.5</v>
      </c>
      <c r="K21" s="81"/>
      <c r="M21" s="81"/>
    </row>
    <row r="22" spans="1:24" ht="15" customHeight="1">
      <c r="A22" s="227"/>
      <c r="B22" s="77" t="s">
        <v>81</v>
      </c>
      <c r="C22" s="78" t="s">
        <v>12</v>
      </c>
      <c r="D22" s="82">
        <v>96</v>
      </c>
      <c r="E22" s="82">
        <f>D22+'[1]2025.11.1'!E22</f>
        <v>4462.5</v>
      </c>
      <c r="G22" s="37"/>
      <c r="H22" s="37"/>
      <c r="I22" s="73"/>
      <c r="J22" s="73"/>
      <c r="K22" s="73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</row>
    <row r="23" spans="1:24" ht="15" customHeight="1">
      <c r="A23" s="227"/>
      <c r="B23" s="77" t="s">
        <v>82</v>
      </c>
      <c r="C23" s="78" t="s">
        <v>12</v>
      </c>
      <c r="D23" s="82">
        <v>198</v>
      </c>
      <c r="E23" s="82">
        <f>D23+'[1]2025.11.1'!E23</f>
        <v>3327</v>
      </c>
      <c r="G23" s="37"/>
      <c r="H23" s="37"/>
      <c r="I23" s="73"/>
      <c r="J23" s="73"/>
      <c r="K23" s="73"/>
      <c r="L23" s="37"/>
      <c r="M23" s="37"/>
      <c r="N23" s="37"/>
      <c r="O23" s="37"/>
      <c r="P23" s="37"/>
      <c r="Q23" s="37"/>
      <c r="R23" s="37"/>
      <c r="S23" s="37"/>
      <c r="T23" s="37"/>
      <c r="U23" s="37"/>
      <c r="W23" s="37"/>
    </row>
    <row r="24" spans="1:24" ht="15" customHeight="1">
      <c r="A24" s="227"/>
      <c r="B24" s="77" t="s">
        <v>83</v>
      </c>
      <c r="C24" s="78" t="s">
        <v>12</v>
      </c>
      <c r="D24" s="79">
        <f>D25+D26+D27+D28</f>
        <v>0</v>
      </c>
      <c r="E24" s="79">
        <f>E25+E26+E27+E28</f>
        <v>0</v>
      </c>
      <c r="H24" s="37"/>
      <c r="I24" s="73"/>
      <c r="J24" s="73"/>
      <c r="K24" s="73"/>
      <c r="L24" s="37"/>
      <c r="M24" s="37"/>
      <c r="N24" s="37"/>
      <c r="O24" s="37"/>
      <c r="P24" s="37"/>
      <c r="Q24" s="37"/>
      <c r="R24" s="37"/>
      <c r="S24" s="37"/>
      <c r="T24" s="37"/>
      <c r="U24" s="37"/>
      <c r="W24" s="37"/>
    </row>
    <row r="25" spans="1:24" ht="15" customHeight="1">
      <c r="A25" s="227"/>
      <c r="B25" s="48" t="s">
        <v>85</v>
      </c>
      <c r="C25" s="8" t="s">
        <v>12</v>
      </c>
      <c r="D25" s="47"/>
      <c r="E25" s="47"/>
      <c r="G25" s="37"/>
      <c r="H25" s="37"/>
      <c r="I25" s="73"/>
      <c r="J25" s="73"/>
      <c r="K25" s="73"/>
      <c r="L25" s="37"/>
      <c r="M25" s="37"/>
      <c r="N25" s="37"/>
      <c r="O25" s="37"/>
      <c r="P25" s="37"/>
      <c r="Q25" s="37"/>
      <c r="R25" s="37"/>
      <c r="S25" s="37"/>
      <c r="T25" s="37"/>
      <c r="U25" s="37"/>
      <c r="W25" s="37"/>
    </row>
    <row r="26" spans="1:24" ht="15" customHeight="1">
      <c r="A26" s="227"/>
      <c r="B26" s="48" t="s">
        <v>86</v>
      </c>
      <c r="C26" s="8" t="s">
        <v>12</v>
      </c>
      <c r="D26" s="47"/>
      <c r="E26" s="47"/>
      <c r="G26" s="37"/>
      <c r="H26" s="37"/>
      <c r="I26" s="73"/>
      <c r="J26" s="73"/>
      <c r="K26" s="73"/>
      <c r="L26" s="37"/>
      <c r="M26" s="37"/>
      <c r="N26" s="37"/>
      <c r="O26" s="37"/>
      <c r="P26" s="37"/>
      <c r="Q26" s="37"/>
      <c r="R26" s="37"/>
      <c r="S26" s="37"/>
      <c r="T26" s="37"/>
      <c r="U26" s="37"/>
      <c r="W26" s="37"/>
    </row>
    <row r="27" spans="1:24" ht="15" customHeight="1">
      <c r="A27" s="227"/>
      <c r="B27" s="48" t="s">
        <v>87</v>
      </c>
      <c r="C27" s="8" t="s">
        <v>12</v>
      </c>
      <c r="D27" s="47"/>
      <c r="E27" s="59"/>
    </row>
    <row r="28" spans="1:24" ht="15" customHeight="1">
      <c r="A28" s="227"/>
      <c r="B28" s="77" t="s">
        <v>88</v>
      </c>
      <c r="C28" s="78" t="s">
        <v>12</v>
      </c>
      <c r="D28" s="82"/>
      <c r="E28" s="79"/>
    </row>
    <row r="29" spans="1:24" ht="15" customHeight="1">
      <c r="A29" s="227"/>
      <c r="B29" s="48" t="s">
        <v>89</v>
      </c>
      <c r="C29" s="8" t="s">
        <v>12</v>
      </c>
      <c r="D29" s="47">
        <f>D30+D31</f>
        <v>358</v>
      </c>
      <c r="E29" s="47">
        <f>E30+E31</f>
        <v>8673</v>
      </c>
    </row>
    <row r="30" spans="1:24" ht="15" customHeight="1">
      <c r="A30" s="227"/>
      <c r="B30" s="48" t="s">
        <v>91</v>
      </c>
      <c r="C30" s="8" t="s">
        <v>12</v>
      </c>
      <c r="D30" s="47">
        <v>358</v>
      </c>
      <c r="E30" s="59">
        <f>D30+'[1]2025.11.1'!E30</f>
        <v>8673</v>
      </c>
      <c r="I30" s="1"/>
    </row>
    <row r="31" spans="1:24" ht="15" customHeight="1">
      <c r="A31" s="227"/>
      <c r="B31" s="48" t="s">
        <v>92</v>
      </c>
      <c r="C31" s="8" t="s">
        <v>12</v>
      </c>
      <c r="D31" s="47"/>
      <c r="E31" s="59"/>
    </row>
    <row r="32" spans="1:24" ht="15" customHeight="1">
      <c r="A32" s="227"/>
      <c r="B32" s="77" t="s">
        <v>93</v>
      </c>
      <c r="C32" s="78" t="s">
        <v>12</v>
      </c>
      <c r="D32" s="82">
        <v>0</v>
      </c>
      <c r="E32" s="79">
        <f>D32+'[1]2025.11.1'!E32</f>
        <v>141</v>
      </c>
    </row>
    <row r="33" spans="1:24" ht="15" customHeight="1">
      <c r="A33" s="227"/>
      <c r="B33" s="48" t="s">
        <v>94</v>
      </c>
      <c r="C33" s="8" t="s">
        <v>12</v>
      </c>
      <c r="D33" s="47"/>
      <c r="E33" s="47"/>
    </row>
    <row r="34" spans="1:24" ht="15" customHeight="1">
      <c r="A34" s="227"/>
      <c r="B34" s="48" t="s">
        <v>95</v>
      </c>
      <c r="C34" s="8" t="s">
        <v>12</v>
      </c>
      <c r="D34" s="47">
        <f>D35+D36</f>
        <v>0</v>
      </c>
      <c r="E34" s="47">
        <f>E35+E36</f>
        <v>0</v>
      </c>
    </row>
    <row r="35" spans="1:24" ht="15" customHeight="1">
      <c r="A35" s="227"/>
      <c r="B35" s="48" t="s">
        <v>97</v>
      </c>
      <c r="C35" s="8" t="s">
        <v>12</v>
      </c>
      <c r="D35" s="28"/>
      <c r="E35" s="28"/>
    </row>
    <row r="36" spans="1:24" ht="15" customHeight="1">
      <c r="A36" s="227"/>
      <c r="B36" s="48" t="s">
        <v>98</v>
      </c>
      <c r="C36" s="8" t="s">
        <v>12</v>
      </c>
      <c r="D36" s="83"/>
      <c r="E36" s="83"/>
    </row>
    <row r="37" spans="1:24" ht="15" customHeight="1">
      <c r="A37" s="227"/>
      <c r="B37" s="77" t="s">
        <v>99</v>
      </c>
      <c r="C37" s="78" t="s">
        <v>17</v>
      </c>
      <c r="D37" s="84">
        <f>IF(D18=0,0,(D20+D29+D35)/D18*100)</f>
        <v>100</v>
      </c>
      <c r="E37" s="84">
        <f>IF(E18=0,0,(E20+E29+E35)/E18*100)</f>
        <v>99.150781461739996</v>
      </c>
    </row>
    <row r="38" spans="1:24" ht="15" customHeight="1">
      <c r="A38" s="227"/>
      <c r="B38" s="85" t="s">
        <v>104</v>
      </c>
      <c r="C38" s="86" t="s">
        <v>105</v>
      </c>
      <c r="D38" s="87">
        <f>IF(D18=0,0,D18/D17)*100</f>
        <v>14.000923618558501</v>
      </c>
      <c r="E38" s="87">
        <f>IF(E18=0,0,E18/E17)*100</f>
        <v>13.0284015319753</v>
      </c>
      <c r="F38" s="88"/>
      <c r="G38" s="88"/>
      <c r="H38" s="88"/>
      <c r="I38" s="89"/>
      <c r="J38" s="89"/>
      <c r="K38" s="89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</row>
    <row r="39" spans="1:24" ht="15" customHeight="1">
      <c r="A39" s="227"/>
      <c r="B39" s="77" t="s">
        <v>107</v>
      </c>
      <c r="C39" s="78" t="s">
        <v>12</v>
      </c>
      <c r="D39" s="90">
        <v>99.75</v>
      </c>
      <c r="E39" s="90">
        <f>D39+'[1]2025.11.1'!E39</f>
        <v>3786.7</v>
      </c>
    </row>
    <row r="40" spans="1:24" ht="15" customHeight="1">
      <c r="A40" s="227"/>
      <c r="B40" s="77" t="s">
        <v>108</v>
      </c>
      <c r="C40" s="78" t="s">
        <v>12</v>
      </c>
      <c r="D40" s="82">
        <f>D39*0.8/0.76</f>
        <v>105</v>
      </c>
      <c r="E40" s="82">
        <f>D40+'[1]2025.11.1'!E40</f>
        <v>3986</v>
      </c>
    </row>
    <row r="41" spans="1:24" ht="15" customHeight="1">
      <c r="A41" s="227"/>
      <c r="B41" s="77" t="s">
        <v>111</v>
      </c>
      <c r="C41" s="78" t="s">
        <v>17</v>
      </c>
      <c r="D41" s="91">
        <f>IF(D17=0,0,D40/D17*100)</f>
        <v>2.2547499692463799</v>
      </c>
      <c r="E41" s="91">
        <f>IF(E17=0,0,E40/E17*100)</f>
        <v>3.1277265941791499</v>
      </c>
    </row>
    <row r="42" spans="1:24" ht="15" customHeight="1">
      <c r="A42" s="227"/>
      <c r="B42" s="92" t="s">
        <v>113</v>
      </c>
      <c r="C42" s="75" t="s">
        <v>12</v>
      </c>
      <c r="D42" s="76">
        <f>D43+D44</f>
        <v>150</v>
      </c>
      <c r="E42" s="76">
        <f>E43+E44</f>
        <v>3536.35</v>
      </c>
    </row>
    <row r="43" spans="1:24" ht="15" customHeight="1">
      <c r="A43" s="227"/>
      <c r="B43" s="77" t="s">
        <v>118</v>
      </c>
      <c r="C43" s="78" t="s">
        <v>12</v>
      </c>
      <c r="D43" s="90">
        <v>150</v>
      </c>
      <c r="E43" s="90">
        <f>D43+'[1]2025.11.1'!E43</f>
        <v>3536.35</v>
      </c>
    </row>
    <row r="44" spans="1:24" ht="15" customHeight="1">
      <c r="A44" s="227"/>
      <c r="B44" s="48" t="s">
        <v>123</v>
      </c>
      <c r="C44" s="8" t="s">
        <v>12</v>
      </c>
      <c r="D44" s="28"/>
      <c r="E44" s="28"/>
    </row>
    <row r="45" spans="1:24" ht="15" customHeight="1">
      <c r="A45" s="226" t="s">
        <v>128</v>
      </c>
      <c r="B45" s="85" t="s">
        <v>129</v>
      </c>
      <c r="C45" s="86" t="s">
        <v>130</v>
      </c>
      <c r="D45" s="93">
        <v>28.08</v>
      </c>
      <c r="E45" s="93">
        <v>47.31</v>
      </c>
    </row>
    <row r="46" spans="1:24" ht="15" customHeight="1">
      <c r="A46" s="227"/>
      <c r="B46" s="94" t="s">
        <v>135</v>
      </c>
      <c r="C46" s="8" t="s">
        <v>136</v>
      </c>
      <c r="D46" s="47">
        <f>674/D18</f>
        <v>1.03374233128834</v>
      </c>
      <c r="E46" s="47">
        <f>37471/E18</f>
        <v>2.25681332249225</v>
      </c>
    </row>
    <row r="47" spans="1:24" ht="15" customHeight="1">
      <c r="A47" s="227"/>
      <c r="B47" s="48" t="s">
        <v>141</v>
      </c>
      <c r="C47" s="8" t="s">
        <v>142</v>
      </c>
      <c r="D47" s="47">
        <f>142050/D18</f>
        <v>217.868098159509</v>
      </c>
      <c r="E47" s="47">
        <f>3724879/E18</f>
        <v>224.34299996988599</v>
      </c>
    </row>
    <row r="48" spans="1:24" ht="15" customHeight="1">
      <c r="A48" s="227"/>
      <c r="B48" s="48" t="s">
        <v>147</v>
      </c>
      <c r="C48" s="8" t="s">
        <v>148</v>
      </c>
      <c r="D48" s="47">
        <f>1826/D17*100</f>
        <v>39.211175655656199</v>
      </c>
      <c r="E48" s="47">
        <f>56329/E17*100</f>
        <v>44.200128279858902</v>
      </c>
    </row>
    <row r="49" spans="1:8" ht="15" customHeight="1">
      <c r="A49" s="227"/>
      <c r="B49" s="48" t="s">
        <v>153</v>
      </c>
      <c r="C49" s="8" t="s">
        <v>12</v>
      </c>
      <c r="D49" s="47">
        <v>360</v>
      </c>
      <c r="E49" s="47">
        <f>D49+'[1]2025.11.1'!E49</f>
        <v>10535</v>
      </c>
    </row>
    <row r="50" spans="1:8" ht="15" customHeight="1">
      <c r="A50" s="227"/>
      <c r="B50" s="48" t="s">
        <v>158</v>
      </c>
      <c r="C50" s="8" t="s">
        <v>159</v>
      </c>
      <c r="D50" s="47">
        <f>D49/D18</f>
        <v>0.55214723926380405</v>
      </c>
      <c r="E50" s="47">
        <f>E49/E18</f>
        <v>0.63450477309001097</v>
      </c>
    </row>
    <row r="51" spans="1:8" ht="15" customHeight="1">
      <c r="A51" s="227"/>
      <c r="B51" s="48" t="s">
        <v>168</v>
      </c>
      <c r="C51" s="8" t="s">
        <v>12</v>
      </c>
      <c r="D51" s="47">
        <v>67.5</v>
      </c>
      <c r="E51" s="47">
        <f>D51+'[1]2025.11.1'!E51</f>
        <v>1701.61</v>
      </c>
    </row>
    <row r="52" spans="1:8" ht="15" customHeight="1">
      <c r="A52" s="228"/>
      <c r="B52" s="48" t="s">
        <v>173</v>
      </c>
      <c r="C52" s="8" t="s">
        <v>174</v>
      </c>
      <c r="D52" s="47">
        <f>D51/D42</f>
        <v>0.45</v>
      </c>
      <c r="E52" s="47">
        <f>E51/E42</f>
        <v>0.48117691970534598</v>
      </c>
    </row>
    <row r="53" spans="1:8" ht="15" customHeight="1">
      <c r="A53" s="229" t="s">
        <v>179</v>
      </c>
      <c r="B53" s="95" t="s">
        <v>180</v>
      </c>
      <c r="C53" s="96" t="s">
        <v>181</v>
      </c>
      <c r="D53" s="97">
        <v>2241</v>
      </c>
      <c r="E53" s="97">
        <v>2098.63</v>
      </c>
    </row>
    <row r="54" spans="1:8" ht="15" customHeight="1">
      <c r="A54" s="230"/>
      <c r="B54" s="94" t="s">
        <v>186</v>
      </c>
      <c r="C54" s="8" t="s">
        <v>12</v>
      </c>
      <c r="D54" s="98">
        <v>5.56</v>
      </c>
      <c r="E54" s="98">
        <f>D54+'[1]2025.11.1'!E54</f>
        <v>132.18</v>
      </c>
    </row>
    <row r="55" spans="1:8" ht="15" customHeight="1">
      <c r="A55" s="230"/>
      <c r="B55" s="94" t="s">
        <v>191</v>
      </c>
      <c r="C55" s="8" t="s">
        <v>17</v>
      </c>
      <c r="D55" s="98">
        <f>D40*46.54/D17</f>
        <v>1.04936063568727</v>
      </c>
      <c r="E55" s="98">
        <f>E40*46.48/E17</f>
        <v>1.4537673209744699</v>
      </c>
    </row>
    <row r="56" spans="1:8" ht="15" customHeight="1">
      <c r="A56" s="230"/>
      <c r="B56" s="94" t="s">
        <v>196</v>
      </c>
      <c r="C56" s="8" t="s">
        <v>17</v>
      </c>
      <c r="D56" s="98">
        <f>13.505/D17*100</f>
        <v>0.290003793663547</v>
      </c>
      <c r="E56" s="98">
        <f>354.279/E17*100</f>
        <v>0.27799494482167503</v>
      </c>
    </row>
    <row r="57" spans="1:8" ht="15" customHeight="1">
      <c r="A57" s="231"/>
      <c r="B57" s="94" t="s">
        <v>201</v>
      </c>
      <c r="C57" s="8" t="s">
        <v>17</v>
      </c>
      <c r="D57" s="98">
        <f>0.77*10%</f>
        <v>7.6999999999999999E-2</v>
      </c>
      <c r="E57" s="98">
        <f>0.78*10%</f>
        <v>7.8E-2</v>
      </c>
    </row>
    <row r="58" spans="1:8" ht="15" customHeight="1">
      <c r="A58" s="232" t="s">
        <v>204</v>
      </c>
      <c r="B58" s="99" t="s">
        <v>205</v>
      </c>
      <c r="C58" s="100" t="s">
        <v>206</v>
      </c>
      <c r="D58" s="101">
        <v>26</v>
      </c>
      <c r="E58" s="101">
        <f>D58+'[1]2025.11.1'!E58</f>
        <v>688</v>
      </c>
    </row>
    <row r="59" spans="1:8" ht="15" customHeight="1">
      <c r="A59" s="232"/>
      <c r="B59" s="99" t="s">
        <v>209</v>
      </c>
      <c r="C59" s="100" t="s">
        <v>206</v>
      </c>
      <c r="D59" s="101">
        <v>6</v>
      </c>
      <c r="E59" s="101">
        <f>D59+'[1]2025.11.1'!E59</f>
        <v>200</v>
      </c>
    </row>
    <row r="60" spans="1:8" ht="15" customHeight="1">
      <c r="A60" s="233"/>
      <c r="B60" s="99" t="s">
        <v>212</v>
      </c>
      <c r="C60" s="100" t="s">
        <v>206</v>
      </c>
      <c r="D60" s="101">
        <v>4</v>
      </c>
      <c r="E60" s="101">
        <f>D60+'[1]2025.11.1'!E60</f>
        <v>100</v>
      </c>
    </row>
    <row r="61" spans="1:8" ht="15" customHeight="1">
      <c r="A61" s="234" t="s">
        <v>215</v>
      </c>
      <c r="B61" s="16" t="s">
        <v>216</v>
      </c>
      <c r="C61" s="102" t="s">
        <v>12</v>
      </c>
      <c r="D61" s="103" t="s">
        <v>333</v>
      </c>
      <c r="E61" s="44">
        <f>E4-E17</f>
        <v>448771.41310567199</v>
      </c>
    </row>
    <row r="62" spans="1:8" ht="15" customHeight="1">
      <c r="A62" s="234"/>
      <c r="B62" s="98" t="s">
        <v>218</v>
      </c>
      <c r="C62" s="104" t="s">
        <v>12</v>
      </c>
      <c r="D62" s="105" t="s">
        <v>333</v>
      </c>
      <c r="E62" s="106">
        <f>E63+E64</f>
        <v>9569</v>
      </c>
      <c r="F62" s="107"/>
      <c r="G62" s="108"/>
      <c r="H62" s="108"/>
    </row>
    <row r="63" spans="1:8" ht="15" customHeight="1">
      <c r="A63" s="234"/>
      <c r="B63" s="98" t="s">
        <v>220</v>
      </c>
      <c r="C63" s="104" t="s">
        <v>12</v>
      </c>
      <c r="D63" s="105" t="s">
        <v>333</v>
      </c>
      <c r="E63" s="106">
        <f>E21+E28+E29-E76</f>
        <v>9428</v>
      </c>
      <c r="F63" s="108"/>
      <c r="G63" s="108"/>
      <c r="H63" s="108"/>
    </row>
    <row r="64" spans="1:8" ht="15" customHeight="1">
      <c r="A64" s="234"/>
      <c r="B64" s="98" t="s">
        <v>222</v>
      </c>
      <c r="C64" s="104" t="s">
        <v>12</v>
      </c>
      <c r="D64" s="105" t="s">
        <v>333</v>
      </c>
      <c r="E64" s="106">
        <f>E32-E81</f>
        <v>141</v>
      </c>
      <c r="F64" s="108"/>
      <c r="G64" s="108"/>
      <c r="H64" s="108"/>
    </row>
    <row r="65" spans="1:8" ht="15" customHeight="1">
      <c r="A65" s="234"/>
      <c r="B65" s="98" t="s">
        <v>224</v>
      </c>
      <c r="C65" s="104" t="s">
        <v>12</v>
      </c>
      <c r="D65" s="109" t="s">
        <v>333</v>
      </c>
      <c r="E65" s="28"/>
      <c r="F65" s="108"/>
      <c r="G65" s="110"/>
      <c r="H65" s="110"/>
    </row>
    <row r="66" spans="1:8" ht="15" customHeight="1">
      <c r="A66" s="234"/>
      <c r="B66" s="98" t="s">
        <v>225</v>
      </c>
      <c r="C66" s="104" t="s">
        <v>12</v>
      </c>
      <c r="D66" s="105" t="s">
        <v>333</v>
      </c>
      <c r="E66" s="106"/>
      <c r="F66" s="108"/>
      <c r="G66" s="110"/>
      <c r="H66" s="110"/>
    </row>
    <row r="67" spans="1:8" ht="17.100000000000001" customHeight="1">
      <c r="A67" s="234"/>
      <c r="B67" s="111" t="s">
        <v>226</v>
      </c>
      <c r="C67" s="112" t="s">
        <v>12</v>
      </c>
      <c r="D67" s="113" t="s">
        <v>333</v>
      </c>
      <c r="E67" s="114">
        <f>E68+E69</f>
        <v>2311.85</v>
      </c>
      <c r="F67" s="108"/>
      <c r="G67" s="108"/>
      <c r="H67" s="108"/>
    </row>
    <row r="68" spans="1:8" ht="15" customHeight="1">
      <c r="A68" s="234"/>
      <c r="B68" s="115" t="s">
        <v>228</v>
      </c>
      <c r="C68" s="112" t="s">
        <v>12</v>
      </c>
      <c r="D68" s="113" t="s">
        <v>333</v>
      </c>
      <c r="E68" s="114">
        <f>E43-E83</f>
        <v>2311.85</v>
      </c>
      <c r="F68" s="108"/>
      <c r="G68" s="108"/>
      <c r="H68" s="108"/>
    </row>
    <row r="69" spans="1:8" ht="15" customHeight="1">
      <c r="A69" s="234"/>
      <c r="B69" s="115" t="s">
        <v>123</v>
      </c>
      <c r="C69" s="112" t="s">
        <v>12</v>
      </c>
      <c r="D69" s="113" t="s">
        <v>333</v>
      </c>
      <c r="E69" s="114"/>
      <c r="F69" s="108"/>
      <c r="G69" s="108"/>
      <c r="H69" s="108"/>
    </row>
    <row r="70" spans="1:8" ht="15" customHeight="1">
      <c r="A70" s="234"/>
      <c r="B70" s="111" t="s">
        <v>231</v>
      </c>
      <c r="C70" s="112" t="s">
        <v>12</v>
      </c>
      <c r="D70" s="113" t="s">
        <v>333</v>
      </c>
      <c r="E70" s="114">
        <f>E40-E82</f>
        <v>1069.24</v>
      </c>
      <c r="G70" s="108"/>
      <c r="H70" s="108"/>
    </row>
    <row r="71" spans="1:8" ht="15" customHeight="1">
      <c r="A71" s="234"/>
      <c r="B71" s="98" t="s">
        <v>233</v>
      </c>
      <c r="C71" s="104" t="s">
        <v>12</v>
      </c>
      <c r="D71" s="105" t="s">
        <v>333</v>
      </c>
      <c r="E71" s="106"/>
    </row>
    <row r="72" spans="1:8" ht="15" customHeight="1">
      <c r="A72" s="225"/>
      <c r="B72" s="225"/>
      <c r="C72" s="225"/>
      <c r="D72" s="225"/>
      <c r="E72" s="225"/>
    </row>
    <row r="73" spans="1:8" ht="15" customHeight="1">
      <c r="A73" s="225" t="s">
        <v>334</v>
      </c>
      <c r="B73" s="225"/>
      <c r="C73" s="225"/>
      <c r="D73" s="225"/>
      <c r="E73" s="225"/>
    </row>
    <row r="74" spans="1:8" ht="15" customHeight="1">
      <c r="A74" s="225"/>
      <c r="B74" s="225"/>
      <c r="C74" s="225"/>
      <c r="D74" s="225"/>
      <c r="E74" s="225"/>
    </row>
    <row r="75" spans="1:8" ht="15" customHeight="1">
      <c r="A75" s="234" t="s">
        <v>296</v>
      </c>
      <c r="B75" s="116"/>
      <c r="C75" s="116"/>
      <c r="D75" s="104" t="s">
        <v>6</v>
      </c>
      <c r="E75" s="104" t="s">
        <v>297</v>
      </c>
      <c r="F75" s="104" t="s">
        <v>298</v>
      </c>
    </row>
    <row r="76" spans="1:8" ht="18" customHeight="1">
      <c r="A76" s="234"/>
      <c r="B76" s="117" t="s">
        <v>335</v>
      </c>
      <c r="C76" s="104" t="s">
        <v>12</v>
      </c>
      <c r="D76" s="104"/>
      <c r="E76" s="104">
        <f>E77+E78+E79+E80</f>
        <v>7034.5</v>
      </c>
      <c r="F76" s="104">
        <f>F77+F78+F79+F80+F81</f>
        <v>9569</v>
      </c>
    </row>
    <row r="77" spans="1:8" ht="15.95" customHeight="1">
      <c r="A77" s="234"/>
      <c r="B77" s="117" t="s">
        <v>302</v>
      </c>
      <c r="C77" s="104" t="s">
        <v>12</v>
      </c>
      <c r="D77" s="104">
        <v>0</v>
      </c>
      <c r="E77" s="104">
        <f>D77+'[1]2025.11.1'!E77</f>
        <v>5209.5</v>
      </c>
      <c r="F77" s="104">
        <f>E29-E77</f>
        <v>3463.5</v>
      </c>
    </row>
    <row r="78" spans="1:8" ht="15" customHeight="1">
      <c r="A78" s="234"/>
      <c r="B78" s="117" t="s">
        <v>306</v>
      </c>
      <c r="C78" s="104" t="s">
        <v>12</v>
      </c>
      <c r="D78" s="104">
        <v>35</v>
      </c>
      <c r="E78" s="104">
        <f>D78+'[1]2025.11.1'!E78</f>
        <v>981</v>
      </c>
      <c r="F78" s="104">
        <f>E22-E78</f>
        <v>3481.5</v>
      </c>
    </row>
    <row r="79" spans="1:8" ht="15" customHeight="1">
      <c r="A79" s="234"/>
      <c r="B79" s="117" t="s">
        <v>309</v>
      </c>
      <c r="C79" s="104" t="s">
        <v>12</v>
      </c>
      <c r="D79" s="104">
        <v>0</v>
      </c>
      <c r="E79" s="104">
        <f>D79+'[1]2025.11.1'!E79</f>
        <v>844</v>
      </c>
      <c r="F79" s="104">
        <f>E23-E79</f>
        <v>2483</v>
      </c>
    </row>
    <row r="80" spans="1:8" ht="15" customHeight="1">
      <c r="A80" s="234"/>
      <c r="B80" s="117" t="s">
        <v>312</v>
      </c>
      <c r="C80" s="104" t="s">
        <v>12</v>
      </c>
      <c r="D80" s="104"/>
      <c r="E80" s="104"/>
      <c r="F80" s="104">
        <f>E28-E80</f>
        <v>0</v>
      </c>
    </row>
    <row r="81" spans="1:6" ht="15" customHeight="1">
      <c r="A81" s="234"/>
      <c r="B81" s="117" t="s">
        <v>315</v>
      </c>
      <c r="C81" s="104" t="s">
        <v>12</v>
      </c>
      <c r="D81" s="104"/>
      <c r="E81" s="104"/>
      <c r="F81" s="104">
        <f>E32-E81</f>
        <v>141</v>
      </c>
    </row>
    <row r="82" spans="1:6" ht="15" customHeight="1">
      <c r="A82" s="234"/>
      <c r="B82" s="117" t="s">
        <v>318</v>
      </c>
      <c r="C82" s="104" t="s">
        <v>12</v>
      </c>
      <c r="D82" s="104">
        <v>184.76</v>
      </c>
      <c r="E82" s="104">
        <f>D82+'[1]2025.11.1'!E82</f>
        <v>2916.76</v>
      </c>
      <c r="F82" s="104">
        <f>E40-E82</f>
        <v>1069.24</v>
      </c>
    </row>
    <row r="83" spans="1:6" ht="15" customHeight="1">
      <c r="A83" s="234"/>
      <c r="B83" s="117" t="s">
        <v>336</v>
      </c>
      <c r="C83" s="104" t="s">
        <v>12</v>
      </c>
      <c r="D83" s="104">
        <v>0</v>
      </c>
      <c r="E83" s="104">
        <f>D83+'[1]2025.11.1'!E83</f>
        <v>1224.5</v>
      </c>
      <c r="F83" s="104">
        <f>E43-E83</f>
        <v>2311.85</v>
      </c>
    </row>
  </sheetData>
  <mergeCells count="12">
    <mergeCell ref="A75:A83"/>
    <mergeCell ref="A73:E74"/>
    <mergeCell ref="A1:E1"/>
    <mergeCell ref="A2:C2"/>
    <mergeCell ref="D2:E2"/>
    <mergeCell ref="A72:E72"/>
    <mergeCell ref="A4:A12"/>
    <mergeCell ref="A13:A44"/>
    <mergeCell ref="A45:A52"/>
    <mergeCell ref="A53:A57"/>
    <mergeCell ref="A58:A60"/>
    <mergeCell ref="A61:A71"/>
  </mergeCells>
  <phoneticPr fontId="26" type="noConversion"/>
  <pageMargins left="0.75" right="0.75" top="1" bottom="1" header="0.5" footer="0.5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原料采购到货</vt:lpstr>
      <vt:lpstr>新榨产品发运</vt:lpstr>
      <vt:lpstr>原表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miaomiao</dc:creator>
  <cp:lastModifiedBy>1501</cp:lastModifiedBy>
  <dcterms:created xsi:type="dcterms:W3CDTF">2025-11-13T12:13:00Z</dcterms:created>
  <dcterms:modified xsi:type="dcterms:W3CDTF">2025-11-25T05:13:53Z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615B3E9E00F4C980536611694C531058_41</vt:lpwstr>
  </property>
  <property fmtid="{D5CDD505-2E9C-101B-9397-08002B2CF9AE}" pid="3" name="KSOProductBuildVer">
    <vt:lpwstr>2052-12.1.23540.23540</vt:lpwstr>
  </property>
</Properties>
</file>