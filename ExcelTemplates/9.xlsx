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Codes\WebExcel\Spreadsheet\ExcelTemplates\"/>
    </mc:Choice>
  </mc:AlternateContent>
  <bookViews>
    <workbookView xWindow="0" yWindow="0" windowWidth="29100" windowHeight="13965"/>
  </bookViews>
  <sheets>
    <sheet name="Sheet1" sheetId="1" r:id="rId1"/>
    <sheet name="原文件"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0" i="2" l="1"/>
  <c r="P40" i="2"/>
  <c r="O40" i="2"/>
  <c r="Q39" i="2"/>
  <c r="P39" i="2"/>
  <c r="O39" i="2"/>
  <c r="Q38" i="2"/>
  <c r="P38" i="2"/>
  <c r="O38" i="2"/>
  <c r="Q37" i="2"/>
  <c r="P37" i="2"/>
  <c r="O37" i="2"/>
  <c r="Q36" i="2"/>
  <c r="P36" i="2"/>
  <c r="O36" i="2"/>
  <c r="Q35" i="2"/>
  <c r="P35" i="2"/>
  <c r="O35" i="2"/>
  <c r="Q34" i="2"/>
  <c r="P34" i="2"/>
  <c r="O34" i="2"/>
  <c r="Q33" i="2"/>
  <c r="P33" i="2"/>
  <c r="O33" i="2"/>
  <c r="Q32" i="2"/>
  <c r="P32" i="2"/>
  <c r="O32" i="2"/>
  <c r="Q31" i="2"/>
  <c r="P31" i="2"/>
  <c r="O31" i="2"/>
  <c r="Q30" i="2"/>
  <c r="P30" i="2"/>
  <c r="O30" i="2"/>
  <c r="Q29" i="2"/>
  <c r="P29" i="2"/>
  <c r="O29" i="2"/>
  <c r="Q28" i="2"/>
  <c r="P28" i="2"/>
  <c r="O28" i="2"/>
  <c r="Q27" i="2"/>
  <c r="P27" i="2"/>
  <c r="O27" i="2"/>
  <c r="Q26" i="2"/>
  <c r="P26" i="2"/>
  <c r="O26" i="2"/>
  <c r="Q25" i="2"/>
  <c r="P25" i="2"/>
  <c r="O25" i="2"/>
  <c r="M25" i="2"/>
  <c r="L25" i="2"/>
  <c r="O23" i="2"/>
  <c r="N23" i="2"/>
  <c r="M23" i="2"/>
  <c r="L23" i="2"/>
  <c r="O22" i="2"/>
  <c r="N22" i="2"/>
  <c r="M22" i="2"/>
  <c r="L22" i="2"/>
  <c r="O21" i="2"/>
  <c r="N21" i="2"/>
  <c r="M21" i="2"/>
  <c r="L21" i="2"/>
  <c r="Q20" i="2"/>
  <c r="O20" i="2"/>
  <c r="N20" i="2"/>
  <c r="M20" i="2"/>
  <c r="L20" i="2"/>
  <c r="Q19" i="2"/>
  <c r="O19" i="2"/>
  <c r="N19" i="2"/>
  <c r="M19" i="2"/>
  <c r="L19" i="2"/>
  <c r="O18" i="2"/>
  <c r="N18" i="2"/>
  <c r="M18" i="2"/>
  <c r="L18" i="2"/>
  <c r="H18" i="2"/>
  <c r="F18" i="2"/>
  <c r="O17" i="2"/>
  <c r="N17" i="2"/>
  <c r="M17" i="2"/>
  <c r="L17" i="2"/>
  <c r="O16" i="2"/>
  <c r="N16" i="2"/>
  <c r="M16" i="2"/>
  <c r="L16" i="2"/>
  <c r="O15" i="2"/>
  <c r="N15" i="2"/>
  <c r="M15" i="2"/>
  <c r="L15" i="2"/>
  <c r="H15" i="2"/>
  <c r="F15" i="2"/>
  <c r="O14" i="2"/>
  <c r="N14" i="2"/>
  <c r="M14" i="2"/>
  <c r="L14" i="2"/>
  <c r="H14" i="2"/>
  <c r="F14" i="2"/>
  <c r="O13" i="2"/>
  <c r="N13" i="2"/>
  <c r="M13" i="2"/>
  <c r="L13" i="2"/>
  <c r="H13" i="2"/>
  <c r="F13" i="2"/>
  <c r="O12" i="2"/>
  <c r="N12" i="2"/>
  <c r="M12" i="2"/>
  <c r="L12" i="2"/>
  <c r="H12" i="2"/>
  <c r="F12" i="2"/>
  <c r="O11" i="2"/>
  <c r="N11" i="2"/>
  <c r="M11" i="2"/>
  <c r="L11" i="2"/>
  <c r="H11" i="2"/>
  <c r="F11" i="2"/>
  <c r="O10" i="2"/>
  <c r="N10" i="2"/>
  <c r="M10" i="2"/>
  <c r="L10" i="2"/>
  <c r="H10" i="2"/>
  <c r="F10" i="2"/>
  <c r="O9" i="2"/>
  <c r="N9" i="2"/>
  <c r="M9" i="2"/>
  <c r="L9" i="2"/>
  <c r="O8" i="2"/>
  <c r="N8" i="2"/>
  <c r="M8" i="2"/>
  <c r="L8" i="2"/>
  <c r="O7" i="2"/>
  <c r="N7" i="2"/>
  <c r="M7" i="2"/>
  <c r="L7" i="2"/>
  <c r="O6" i="2"/>
  <c r="N6" i="2"/>
  <c r="M6" i="2"/>
  <c r="L6" i="2"/>
  <c r="H6" i="2"/>
  <c r="F6" i="2"/>
  <c r="O5" i="2"/>
  <c r="N5" i="2"/>
  <c r="M5" i="2"/>
  <c r="L5" i="2"/>
  <c r="O4" i="2"/>
  <c r="N4" i="2"/>
  <c r="M4" i="2"/>
  <c r="L4" i="2"/>
</calcChain>
</file>

<file path=xl/comments1.xml><?xml version="1.0" encoding="utf-8"?>
<comments xmlns="http://schemas.openxmlformats.org/spreadsheetml/2006/main">
  <authors>
    <author>行政</author>
    <author>张佩佩</author>
  </authors>
  <commentList>
    <comment ref="B8" authorId="0" shapeId="0">
      <text>
        <r>
          <rPr>
            <sz val="9"/>
            <rFont val="宋体"/>
            <family val="3"/>
            <charset val="134"/>
          </rPr>
          <t>袋数/20</t>
        </r>
      </text>
    </comment>
    <comment ref="A19" authorId="1" shapeId="0">
      <text>
        <r>
          <rPr>
            <b/>
            <sz val="9"/>
            <rFont val="宋体"/>
            <family val="3"/>
            <charset val="134"/>
          </rPr>
          <t>上车数辆*1.5吨</t>
        </r>
      </text>
    </comment>
    <comment ref="A20" authorId="1" shapeId="0">
      <text>
        <r>
          <rPr>
            <b/>
            <sz val="9"/>
            <rFont val="宋体"/>
            <family val="3"/>
            <charset val="134"/>
          </rPr>
          <t>石灰石吨数*10%</t>
        </r>
      </text>
    </comment>
    <comment ref="A21" authorId="1" shapeId="0">
      <text>
        <r>
          <rPr>
            <b/>
            <sz val="9"/>
            <rFont val="宋体"/>
            <family val="3"/>
            <charset val="134"/>
          </rPr>
          <t>袋数*50KG（0.05吨）</t>
        </r>
      </text>
    </comment>
  </commentList>
</comments>
</file>

<file path=xl/comments2.xml><?xml version="1.0" encoding="utf-8"?>
<comments xmlns="http://schemas.openxmlformats.org/spreadsheetml/2006/main">
  <authors>
    <author>行政</author>
    <author>张佩佩</author>
  </authors>
  <commentList>
    <comment ref="B7" authorId="0" shapeId="0">
      <text>
        <r>
          <rPr>
            <sz val="9"/>
            <rFont val="宋体"/>
            <family val="3"/>
            <charset val="134"/>
          </rPr>
          <t>袋数/20</t>
        </r>
      </text>
    </comment>
    <comment ref="A19" authorId="1" shapeId="0">
      <text>
        <r>
          <rPr>
            <b/>
            <sz val="9"/>
            <rFont val="宋体"/>
            <family val="3"/>
            <charset val="134"/>
          </rPr>
          <t>上车数辆*1.5吨</t>
        </r>
      </text>
    </comment>
    <comment ref="A20" authorId="1" shapeId="0">
      <text>
        <r>
          <rPr>
            <b/>
            <sz val="9"/>
            <rFont val="宋体"/>
            <family val="3"/>
            <charset val="134"/>
          </rPr>
          <t>石灰石吨数*10%</t>
        </r>
      </text>
    </comment>
    <comment ref="A21" authorId="1" shapeId="0">
      <text>
        <r>
          <rPr>
            <b/>
            <sz val="9"/>
            <rFont val="宋体"/>
            <family val="3"/>
            <charset val="134"/>
          </rPr>
          <t>袋数*50KG（0.05吨）</t>
        </r>
      </text>
    </comment>
  </commentList>
</comments>
</file>

<file path=xl/sharedStrings.xml><?xml version="1.0" encoding="utf-8"?>
<sst xmlns="http://schemas.openxmlformats.org/spreadsheetml/2006/main" count="697" uniqueCount="265">
  <si>
    <t>界面数据保存两位，四舍五入</t>
  </si>
  <si>
    <t>制糖车间生产日报</t>
  </si>
  <si>
    <t>第35期代表第35产季；第31天，这一产季从第一天开始开始计算生产的第多少天。也就是第31批</t>
  </si>
  <si>
    <t>第35生产期</t>
  </si>
  <si>
    <t>第31天</t>
  </si>
  <si>
    <t>项目</t>
  </si>
  <si>
    <t>单位</t>
  </si>
  <si>
    <t>甲班</t>
  </si>
  <si>
    <t>乙班</t>
  </si>
  <si>
    <t>丙班</t>
  </si>
  <si>
    <t>日计（单位：日）</t>
  </si>
  <si>
    <t>旬计（单位：日）</t>
  </si>
  <si>
    <t>月计（单位：日）</t>
  </si>
  <si>
    <t>新宁累计（单位：日）</t>
  </si>
  <si>
    <t>昭苏累计（单位：日）</t>
  </si>
  <si>
    <t>新宁+昭苏累计（单位：日）</t>
  </si>
  <si>
    <t>甜菜
处理
量</t>
  </si>
  <si>
    <t>1＃连浸</t>
  </si>
  <si>
    <t>吨</t>
  </si>
  <si>
    <t>计量秤过磅数量（填报）</t>
  </si>
  <si>
    <t>甲班1＃连浸+乙班1＃连浸+丙班1＃连浸</t>
  </si>
  <si>
    <t>逢9算旬，1＃连浸累计日计数量按当旬求和（旬:例如每月10日-19日，20日-29日，30-9日）</t>
  </si>
  <si>
    <t>按财务月累计求和1＃连浸的日计数量（财务月每月28，包含28，例如10.29-11.28）</t>
  </si>
  <si>
    <t>属于新宁工厂的当期开机第一天开始1＃连浸的日计累计求和</t>
  </si>
  <si>
    <t>属于昭苏工厂的当期开机第一天开始1＃连浸的日计累计求和</t>
  </si>
  <si>
    <t>当期开机第一天开始1＃连浸的日计累计求和</t>
  </si>
  <si>
    <t>2＃连浸</t>
  </si>
  <si>
    <t>甲班2＃连浸+乙班2＃连浸+丙班2＃连浸</t>
  </si>
  <si>
    <t>逢9算旬，2＃连浸累计日计数量按当旬求和（例如每月10日-19日，20日-29日，30-9日）</t>
  </si>
  <si>
    <t>按财务月累计求和2＃连浸的日计数量（财务月每月28，包含28，例如10.29-11.29）</t>
  </si>
  <si>
    <t>属于新宁工厂的当期开机第一天开始2＃连浸的日计累计求和</t>
  </si>
  <si>
    <t>属于昭苏工厂的当期开机第一天开始2＃连浸的日计累计求和</t>
  </si>
  <si>
    <t>当期开机第一天开始2＃连浸的日计累计求和</t>
  </si>
  <si>
    <t>合计</t>
  </si>
  <si>
    <t>甲班1＃连浸+甲班2＃连浸</t>
  </si>
  <si>
    <t>乙班1＃连浸+乙班2＃连浸</t>
  </si>
  <si>
    <t>丙班1＃连浸+丙班2＃连浸</t>
  </si>
  <si>
    <t>甲班甜菜处理量合计+乙班甜菜处理量合计+丙班甜菜处理量合计</t>
  </si>
  <si>
    <t>逢9算旬，甜菜处理量合计的日计数量按当旬累计求和</t>
  </si>
  <si>
    <t>按财务月累计求和，日计合计按财务月求和</t>
  </si>
  <si>
    <t>属于新宁工厂的日计合计从当期开机第一天开始累计求和</t>
  </si>
  <si>
    <t>属于昭苏工厂的日计合计从当期开机第一天开始累计求和</t>
  </si>
  <si>
    <t>日计合计从当期开机第一天开始累计求和</t>
  </si>
  <si>
    <t>成
品
糖</t>
  </si>
  <si>
    <t xml:space="preserve">优级白砂糖
</t>
  </si>
  <si>
    <t>当天甲班优级白砂糖成品入库量（填报）</t>
  </si>
  <si>
    <t>当天乙班优级白砂糖成品入库量（填报）</t>
  </si>
  <si>
    <t>当天丙班优级白砂糖成品入库量（填报）</t>
  </si>
  <si>
    <t>甲班优级白砂糖成品入库量+乙班优级白砂糖成品入库量+丙班优级白砂糖成品入库量</t>
  </si>
  <si>
    <t>逢9算旬，优级白砂糖日计数量按当旬累计求和</t>
  </si>
  <si>
    <t>按财务月累计求和，优级白砂糖日计数量按财务月求和</t>
  </si>
  <si>
    <t>属于新宁工厂的优级白砂糖日计产量从当期开机第一天开始累计求和</t>
  </si>
  <si>
    <t>属于昭苏工厂的优级白砂糖日计产量从当期开机第一天开始累计求和</t>
  </si>
  <si>
    <t>优级白砂糖日计产量从当期开机第一天开始累计求和</t>
  </si>
  <si>
    <t>一级白砂糖</t>
  </si>
  <si>
    <t>当天甲班一级白砂糖成品入库量（填报）</t>
  </si>
  <si>
    <t>当天乙班一级白砂糖成品入库量（填报）</t>
  </si>
  <si>
    <t>当天丙班一级白砂糖成品入库量（填报）</t>
  </si>
  <si>
    <t>甲班一级白砂糖成品入库量+乙班一级白砂糖成品入库量+丙班一级白砂糖成品入库量</t>
  </si>
  <si>
    <t>逢9算旬，一级白砂糖日计数量按当旬累计求和</t>
  </si>
  <si>
    <t>按财务月累计求和，一级白砂糖日计数量按财务月求和</t>
  </si>
  <si>
    <t>属于新宁工厂的一级白砂糖日计产量从当期开机第一天开始累计求和</t>
  </si>
  <si>
    <t>属于昭苏工厂的一级白砂糖日计产量从当期开机第一天开始累计求和</t>
  </si>
  <si>
    <t>一级白砂糖日计产量从当期开机第一天开始累计求和</t>
  </si>
  <si>
    <t>小包装糖</t>
  </si>
  <si>
    <t>当天甲班小包装糖成品入库量（填报）</t>
  </si>
  <si>
    <t>当天乙班小包装糖成品入库量（填报）</t>
  </si>
  <si>
    <t>当天丙班小包装糖成品入库量（填报）</t>
  </si>
  <si>
    <t>甲班小包装糖成品入库量+乙班小包装糖成品入库量+丙班优小包装糖成品入库量</t>
  </si>
  <si>
    <t>逢9算旬，小包装糖日计数量按当旬累计求和</t>
  </si>
  <si>
    <t>按财务月累计求和，小包装糖糖日计数量按财务月求和</t>
  </si>
  <si>
    <t>属于新宁工厂的小包装糖日计产量从当期开机第一天开始累计求和</t>
  </si>
  <si>
    <t>属于昭苏工厂的小包装糖日计产量从当期开机第一天开始累计求和</t>
  </si>
  <si>
    <t>小包装糖日计产量从当期开机第一天开始累计求和</t>
  </si>
  <si>
    <t>当天甲班优级白砂糖成品入库量+一级白砂糖成品入库量+小包装糖成品入库量</t>
  </si>
  <si>
    <t>当天乙班优级白砂糖成品入库量+一级白砂糖成品入库量+小包装糖成品入库量</t>
  </si>
  <si>
    <t>当天丙班优级白砂糖成品入库量+一级白砂糖成品入库量+小包装糖成品入库量</t>
  </si>
  <si>
    <t>甲班成品合计+乙班成品合计+丙班成品合计</t>
  </si>
  <si>
    <t>逢9算旬，成品合计的日计数量按当旬累计求和</t>
  </si>
  <si>
    <t>按财务月累计求和，成品合计的日计数量按财务月累计求和</t>
  </si>
  <si>
    <t>属于新宁工厂的成品合计的日计数量从当期开始第一天开始累计求和</t>
  </si>
  <si>
    <t>属于昭苏工厂的成品合计的日计数量从当期开始第一天开始累计求和</t>
  </si>
  <si>
    <t>成品合计的日计数量从当期开始第一天开始累计求和</t>
  </si>
  <si>
    <t>甜菜丝糖度量</t>
  </si>
  <si>
    <t>甲班甜菜丝处理合计量*甲班菜丝糖度/100</t>
  </si>
  <si>
    <t>乙班甜菜丝处理合计量*乙班菜丝糖度/100</t>
  </si>
  <si>
    <t>丙班甜菜丝处理合计量*丙班菜丝糖度/100</t>
  </si>
  <si>
    <t>甲班菜丝糖度量+乙班菜丝糖度量+丙班菜丝糖度量</t>
  </si>
  <si>
    <t>逢9算旬，甜菜丝糖度量日计数量按当旬累计求和</t>
  </si>
  <si>
    <t>按财务月累计求和，甜菜丝糖度量的日计数量按财务月累计求和</t>
  </si>
  <si>
    <t>属于新宁工厂的甜菜丝糖度量的日计数量从当期开始第一天开始累计求和</t>
  </si>
  <si>
    <t>属于昭苏工厂的甜菜丝糖度量的日计数量从当期开始第一天开始累计求和</t>
  </si>
  <si>
    <t>甜菜丝糖度量的日计数量从当期开始第一天开始累计求和</t>
  </si>
  <si>
    <t>废粕损失糖度量</t>
  </si>
  <si>
    <t>甲班甜菜处理合计量*甲班废粕损失/100</t>
  </si>
  <si>
    <t>乙班甜菜处理合计量*乙班废粕损失/100</t>
  </si>
  <si>
    <t>丙班甜菜处理合计量*丙班废粕损失/100</t>
  </si>
  <si>
    <t>甲班废粕损失糖度量+乙班废粕损失糖度量+丙班废粕损失糖度量</t>
  </si>
  <si>
    <t>逢9算旬，废粕损失糖度量日计数量按当旬累计求和</t>
  </si>
  <si>
    <t>按财务月累计求和，废粕损失糖度量日计数量按财务月累计求和</t>
  </si>
  <si>
    <t>属于新宁工厂的废粕损失糖度量日计数量从当期第一天开始累计求和</t>
  </si>
  <si>
    <t>属于昭苏工厂的废粕损失糖度量日计数量从当期第一天开始累计求和</t>
  </si>
  <si>
    <t>废粕损失糖度量日计数量从当期第一天开始累计求和</t>
  </si>
  <si>
    <t>滤泥损失糖度量</t>
  </si>
  <si>
    <t>甲班甜菜处理合计量*甲班滤泥糖度*0.1/100</t>
  </si>
  <si>
    <t>乙班甜菜处理合计量*乙班滤泥糖度*0.1/100</t>
  </si>
  <si>
    <t>丙班甜菜处理合计量*丙班滤泥糖度*0.1/100</t>
  </si>
  <si>
    <t>甲班滤泥损失糖度量+乙班滤泥损失糖度量+丙班滤泥损失糖度量</t>
  </si>
  <si>
    <t>逢9算旬，滤泥损失糖度日计数量按当旬累计求和</t>
  </si>
  <si>
    <t>按财务月累计求和，滤泥损失糖度量日计数量按财务月累计求和</t>
  </si>
  <si>
    <t>属于新宁工厂滤泥损失糖度量日计数量从当期第一天开始累计求和</t>
  </si>
  <si>
    <t>属于昭苏工厂滤泥损失糖度量日计数量从当期第一天开始累计求和</t>
  </si>
  <si>
    <t>滤泥损失糖度量日计数量从当期第一天开始累计求和</t>
  </si>
  <si>
    <t>废蜜损失糖度量</t>
  </si>
  <si>
    <t>甲班商品蜜产量*甲班废蜜糖度/100</t>
  </si>
  <si>
    <t>乙班商品蜜产量*乙班废蜜糖度/100</t>
  </si>
  <si>
    <t>丙班商品蜜产量*丙班废蜜糖度/100</t>
  </si>
  <si>
    <t>甲班废蜜损失糖度量+乙班废蜜损失糖度量+丙班废蜜损失糖度量</t>
  </si>
  <si>
    <t>逢9算旬，废蜜损失糖度量日计数量按当旬累计求和</t>
  </si>
  <si>
    <t>按财务月累计求和，废蜜损失糖度量日计数量按财务月累计求和</t>
  </si>
  <si>
    <t>属于新宁工厂废蜜损失糖度量日计数量从当期第一天开始累计求和</t>
  </si>
  <si>
    <t>属于昭苏工厂废蜜损失糖度量日计数量从当期第一天开始累计求和</t>
  </si>
  <si>
    <t>废蜜损失糖度量日计数量从当期第一天开始累计求和</t>
  </si>
  <si>
    <t>废蜜锤度量</t>
  </si>
  <si>
    <t>甲班商品蜜产量*甲班废蜜锤度/100</t>
  </si>
  <si>
    <t>乙班商品蜜产量*乙班废蜜锤度/100</t>
  </si>
  <si>
    <t>丙班商品蜜产量*丙班废蜜锤度/100</t>
  </si>
  <si>
    <t>甲班废蜜锤度量+乙班废蜜锤度量+丙班废蜜锤度量</t>
  </si>
  <si>
    <t>逢9算旬，废蜜锤度量日计数量按当旬累计求和</t>
  </si>
  <si>
    <t>按财务月累计求和，废蜜锤度量日计数量按财务月累计求和</t>
  </si>
  <si>
    <t>属于新宁工厂废蜜锤度量日计数量从当期第一天开始累计求和</t>
  </si>
  <si>
    <t>属于昭苏工厂废蜜锤度量日计数量从当期第一天开始累计求和</t>
  </si>
  <si>
    <t>废蜜锤度量日计数量从当期第一天开始累计求和</t>
  </si>
  <si>
    <t>商品蜜产量</t>
  </si>
  <si>
    <t>车间上报/盘点数量（填报）</t>
  </si>
  <si>
    <t>甲班商品蜜产量+乙班商品蜜产量+丙班商品蜜产量</t>
  </si>
  <si>
    <t>逢9算旬，商品蜜产量日计数量按当旬累计求和</t>
  </si>
  <si>
    <t>按财务月求和，商品蜜产量日计数量按财务月累计求和</t>
  </si>
  <si>
    <t>属于新宁工厂商品蜜产量日计数量从当期第一天开始累计求和</t>
  </si>
  <si>
    <t>属于昭苏工厂商品蜜产量日计数量从当期第一天开始累计求和</t>
  </si>
  <si>
    <t>商品蜜产量日计数量从当期第一天开始累计求和</t>
  </si>
  <si>
    <t>浸出汁量</t>
  </si>
  <si>
    <t>甲班甜菜处理量*甲班浸出汁纯度/100</t>
  </si>
  <si>
    <t>乙班甜菜处理量*乙班浸出汁纯度/100</t>
  </si>
  <si>
    <t>丙班甜菜处理量*丙班浸出汁纯度/100</t>
  </si>
  <si>
    <t>甲班浸出汁量+乙班浸出汁量+丙班浸出汁量</t>
  </si>
  <si>
    <t>逢9算旬，浸出汁量日计数量按当旬累计求和</t>
  </si>
  <si>
    <t>按财务月求和，浸出汁量日计数量按财务月累计求和</t>
  </si>
  <si>
    <t>属于新宁工厂浸出汁量日计数量从当期第一天开始累计求和</t>
  </si>
  <si>
    <t>属于昭苏工厂浸出汁量日计数量从当期第一天开始累计求和</t>
  </si>
  <si>
    <t>浸出汁量日计数量从当期第一天开始累计求和</t>
  </si>
  <si>
    <t>石灰石</t>
  </si>
  <si>
    <t>（填报）</t>
  </si>
  <si>
    <t>甲班石灰石+乙班石灰石+丙班石灰石</t>
  </si>
  <si>
    <t>逢9算旬，石灰石日计数量按当旬累计求和</t>
  </si>
  <si>
    <t>按财务月求和，石灰石日计数量按财务月累计求和</t>
  </si>
  <si>
    <t>属于新宁工厂石灰石日计数量从当期第一天开始累计求和</t>
  </si>
  <si>
    <t>属于昭苏工厂石灰石日计数量从当期第一天开始累计求和</t>
  </si>
  <si>
    <t>石灰石日计数量从当期第一天开始累计求和</t>
  </si>
  <si>
    <t>焦炭</t>
  </si>
  <si>
    <t>甲班石灰石吨数*10%</t>
  </si>
  <si>
    <t>乙班石灰石吨数*10%</t>
  </si>
  <si>
    <t>丙班石灰石吨数*10%</t>
  </si>
  <si>
    <t>甲班焦炭+乙班焦炭+丙班焦炭</t>
  </si>
  <si>
    <t>逢9算旬，焦炭日计数量按当旬累计求和</t>
  </si>
  <si>
    <t>按财务月求和，焦炭日计数量按财务月累计求和</t>
  </si>
  <si>
    <t>属于新宁工厂焦炭日计数量从当期第一天开始累计求和</t>
  </si>
  <si>
    <t>属于昭苏工厂焦炭日计数量从当期第一天开始累计求和</t>
  </si>
  <si>
    <t>焦炭日计数量从当期第一天开始累计求和</t>
  </si>
  <si>
    <t>硫磺</t>
  </si>
  <si>
    <t>甲班袋数*0.05（袋数数量为人工上报数量）（填报）</t>
  </si>
  <si>
    <t>甲班硫磺+乙班硫磺+丙班硫磺</t>
  </si>
  <si>
    <t>逢9算旬，硫磺日计数量按当旬累计求和</t>
  </si>
  <si>
    <t>按财务月求和，硫磺日计数量按财务月累计求和</t>
  </si>
  <si>
    <t>属于新宁工厂硫磺日计数量从当期第一天开始累计求和</t>
  </si>
  <si>
    <t>属于昭苏工厂硫磺日计数量从当期第一天开始累计求和</t>
  </si>
  <si>
    <t>硫磺日计数量从当期第一天开始累计求和</t>
  </si>
  <si>
    <t>运转时间</t>
  </si>
  <si>
    <t>时分</t>
  </si>
  <si>
    <t>甲班运转时间（填报）</t>
  </si>
  <si>
    <t>乙班运转时间（填报）</t>
  </si>
  <si>
    <t>丙班运转时间（填报）</t>
  </si>
  <si>
    <t>各班组运转时间求和/24（单位：日）</t>
  </si>
  <si>
    <t>逢9算旬，当旬各班组运转时间日计求和（单位：日）</t>
  </si>
  <si>
    <t>按财务月各班组运转时间日计求和</t>
  </si>
  <si>
    <t>属于新宁工厂从当期第一天开始各班组运转时间日计求和</t>
  </si>
  <si>
    <t>属于昭苏工厂从当期第一天开始各班组运转时间日计求和</t>
  </si>
  <si>
    <t>从当期第一天开始各班组运转时间日计求和</t>
  </si>
  <si>
    <t>停机时间</t>
  </si>
  <si>
    <t>甲班停机时间（填报）</t>
  </si>
  <si>
    <t>乙班停机时间（填报）</t>
  </si>
  <si>
    <t>丙班停机时间（填报）</t>
  </si>
  <si>
    <t>各班组停机时间求和/24（单位：日）</t>
  </si>
  <si>
    <t>逢9算旬，当旬各班组停机时间日计求和（单位：日）</t>
  </si>
  <si>
    <t>按财务月各班组停机时间日计求和</t>
  </si>
  <si>
    <t>属于新宁工厂从当期第一天开始各班组停机时间日计求和</t>
  </si>
  <si>
    <t>属于昭苏工厂从当期第一天开始各班组停机时间日计求和</t>
  </si>
  <si>
    <t>从当期第一天开始各班组停机时间日计求和</t>
  </si>
  <si>
    <t>罐号</t>
  </si>
  <si>
    <t>色值</t>
  </si>
  <si>
    <t>浑浊度</t>
  </si>
  <si>
    <t>水分</t>
  </si>
  <si>
    <t>灰分</t>
  </si>
  <si>
    <t>水不溶物</t>
  </si>
  <si>
    <t>粒度</t>
  </si>
  <si>
    <t>甲</t>
  </si>
  <si>
    <t>乙</t>
  </si>
  <si>
    <t>丙</t>
  </si>
  <si>
    <t>平均</t>
  </si>
  <si>
    <t>累计平均</t>
  </si>
  <si>
    <t>今日累计</t>
  </si>
  <si>
    <t>天数</t>
  </si>
  <si>
    <t>机
制
白
砂
糖
理
化
指
标</t>
  </si>
  <si>
    <t>当天理化检验的罐号（检验填报）</t>
  </si>
  <si>
    <t>罐号对应的色值检验结果（检验填报）</t>
  </si>
  <si>
    <t>罐号对应的浑浊度检验结果（检验填报）</t>
  </si>
  <si>
    <t>罐号对应的水分检验结果（检验填报）</t>
  </si>
  <si>
    <t>罐号对应的灰分检验结果（检验填报）</t>
  </si>
  <si>
    <t>罐号对应的水不溶物检验结果（检验填报）</t>
  </si>
  <si>
    <t>罐号对应的粒度检验结果（检验填报）</t>
  </si>
  <si>
    <t>清净效率</t>
  </si>
  <si>
    <t>%</t>
  </si>
  <si>
    <t>（检验人工填报）</t>
  </si>
  <si>
    <t>各班组清净效率求和/班组数量</t>
  </si>
  <si>
    <t>今日累计/天数</t>
  </si>
  <si>
    <t>平均（O列）+前一天的今日累计</t>
  </si>
  <si>
    <t>有数据的天数累计</t>
  </si>
  <si>
    <t>菜丝糖度</t>
  </si>
  <si>
    <t>各班组菜丝糖度求和/班组数量</t>
  </si>
  <si>
    <t>压粕固形物</t>
  </si>
  <si>
    <t>各班组压粕固形物求和/班组数量</t>
  </si>
  <si>
    <t>压粕糖度</t>
  </si>
  <si>
    <t>各班组压粕糖度求和/班组数量</t>
  </si>
  <si>
    <t>废粕损失</t>
  </si>
  <si>
    <t>各班组废粕损失求和/班组数量</t>
  </si>
  <si>
    <t>石灰乳波美度</t>
  </si>
  <si>
    <t>各班组石灰乳波美度求和/班组数量</t>
  </si>
  <si>
    <t>窑气浓度</t>
  </si>
  <si>
    <t>各班组窑气浓度求和/班组数量</t>
  </si>
  <si>
    <t>滤泥糖度</t>
  </si>
  <si>
    <t>各班组滤泥糖度求和/班组数量</t>
  </si>
  <si>
    <t>压榨汁纯度</t>
  </si>
  <si>
    <t>各班组压榨汁纯度求和/班组数量</t>
  </si>
  <si>
    <t>浸出汁纯度</t>
  </si>
  <si>
    <t>各班组浸出汁纯度求和/班组数量</t>
  </si>
  <si>
    <t>稀汁纯度</t>
  </si>
  <si>
    <t>各班组稀汁纯度求和/班组数量</t>
  </si>
  <si>
    <t>糖浆锤度</t>
  </si>
  <si>
    <t>各班组糖浆锤度求和/班组数量</t>
  </si>
  <si>
    <t>糖浆色值</t>
  </si>
  <si>
    <t>各班组糖浆色值求和/班组数量</t>
  </si>
  <si>
    <t>废蜜纯度</t>
  </si>
  <si>
    <t>各班组废蜜纯度求和/班组数量</t>
  </si>
  <si>
    <t>废蜜糖度</t>
  </si>
  <si>
    <t>各班组废蜜糖度求和/班组数量</t>
  </si>
  <si>
    <t>废蜜锤度</t>
  </si>
  <si>
    <t>各班组废蜜锤度求和/班组数量</t>
  </si>
  <si>
    <t>车间主任：吴江华</t>
  </si>
  <si>
    <t>车间统计：孙翟娅</t>
  </si>
  <si>
    <t>日计</t>
  </si>
  <si>
    <t>旬计</t>
  </si>
  <si>
    <t>月计</t>
  </si>
  <si>
    <t>累计</t>
  </si>
  <si>
    <t>废蜜量</t>
  </si>
  <si>
    <t>商品蜜量</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</si>
</sst>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78" formatCode="yyyy&quot;年&quot;m&quot;月&quot;d&quot;日&quot;;@"/>
    <numFmt numFmtId="179" formatCode="0.00_);[Red]\(0.00\)"/>
    <numFmt numFmtId="180" formatCode="0.000_);[Red]\(0.000\)"/>
    <numFmt numFmtId="181" formatCode="0.00_ "/>
    <numFmt numFmtId="182" formatCode="0.000_ "/>
    <numFmt numFmtId="183" formatCode="0_ "/>
    <numFmt numFmtId="184" formatCode="[h]:mm"/>
    <numFmt numFmtId="185" formatCode="[$-F400]h:mm:ss\ AM/PM"/>
  </numFmts>
  <fonts count="14">
    <font>
      <sz val="11"/>
      <color theme="1"/>
      <name val="宋体"/>
      <charset val="134"/>
      <scheme val="minor"/>
    </font>
    <font>
      <sz val="20"/>
      <name val="方正小标宋简体"/>
      <charset val="134"/>
    </font>
    <font>
      <sz val="9"/>
      <name val="微软雅黑"/>
      <family val="2"/>
      <charset val="134"/>
    </font>
    <font>
      <sz val="9"/>
      <color theme="1"/>
      <name val="微软雅黑"/>
      <family val="2"/>
      <charset val="134"/>
    </font>
    <font>
      <sz val="8"/>
      <name val="宋体"/>
      <family val="3"/>
      <charset val="134"/>
    </font>
    <font>
      <sz val="10"/>
      <color theme="1"/>
      <name val="宋体"/>
      <family val="3"/>
      <charset val="134"/>
      <scheme val="minor"/>
    </font>
    <font>
      <sz val="9"/>
      <name val="宋体"/>
      <family val="3"/>
      <charset val="134"/>
      <scheme val="minor"/>
    </font>
    <font>
      <sz val="9"/>
      <color theme="1"/>
      <name val="宋体"/>
      <family val="3"/>
      <charset val="134"/>
      <scheme val="minor"/>
    </font>
    <font>
      <b/>
      <sz val="11"/>
      <color rgb="FFFF0000"/>
      <name val="微软雅黑"/>
      <family val="2"/>
      <charset val="134"/>
    </font>
    <font>
      <sz val="11"/>
      <color theme="1"/>
      <name val="微软雅黑"/>
      <family val="2"/>
      <charset val="134"/>
    </font>
    <font>
      <sz val="20"/>
      <name val="微软雅黑"/>
      <family val="2"/>
      <charset val="134"/>
    </font>
    <font>
      <sz val="8"/>
      <name val="微软雅黑"/>
      <family val="2"/>
      <charset val="134"/>
    </font>
    <font>
      <b/>
      <sz val="9"/>
      <name val="宋体"/>
      <family val="3"/>
      <charset val="134"/>
    </font>
    <font>
      <sz val="9"/>
      <name val="宋体"/>
      <family val="3"/>
      <charset val="134"/>
    </font>
  </fonts>
  <fills count="9">
    <fill>
      <patternFill patternType="none"/>
    </fill>
    <fill>
      <patternFill patternType="gray125"/>
    </fill>
    <fill>
      <patternFill patternType="solid">
        <fgColor theme="0" tint="-0.14978484450819421"/>
        <bgColor indexed="64"/>
      </patternFill>
    </fill>
    <fill>
      <patternFill patternType="solid">
        <fgColor theme="0"/>
        <bgColor indexed="64"/>
      </patternFill>
    </fill>
    <fill>
      <patternFill patternType="solid">
        <fgColor theme="0" tint="-0.14996795556505021"/>
        <bgColor indexed="64"/>
      </patternFill>
    </fill>
    <fill>
      <patternFill patternType="solid">
        <fgColor theme="0" tint="-0.149754325998718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s>
  <cellStyleXfs count="1">
    <xf numFmtId="0" fontId="0" fillId="0" borderId="0">
      <alignment vertical="center"/>
    </xf>
  </cellStyleXfs>
  <cellXfs count="143">
    <xf numFmtId="0" fontId="0" fillId="0" borderId="0" xfId="0">
      <alignment vertical="center"/>
    </xf>
    <xf numFmtId="0" fontId="0" fillId="0" borderId="0" xfId="0" applyFill="1" applyAlignment="1">
      <alignment vertical="center"/>
    </xf>
    <xf numFmtId="0" fontId="0" fillId="0" borderId="0" xfId="0" applyFill="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180" fontId="3" fillId="0" borderId="1" xfId="0" applyNumberFormat="1" applyFont="1" applyFill="1" applyBorder="1" applyAlignment="1">
      <alignment horizontal="center" vertical="center"/>
    </xf>
    <xf numFmtId="180" fontId="2" fillId="0" borderId="1" xfId="0" applyNumberFormat="1" applyFont="1" applyFill="1" applyBorder="1" applyAlignment="1">
      <alignment horizontal="center" vertical="center"/>
    </xf>
    <xf numFmtId="181" fontId="0" fillId="0" borderId="0" xfId="0" applyNumberFormat="1" applyFill="1" applyAlignment="1">
      <alignment vertical="center"/>
    </xf>
    <xf numFmtId="179" fontId="2" fillId="4" borderId="2" xfId="0" applyNumberFormat="1" applyFont="1" applyFill="1" applyBorder="1" applyAlignment="1">
      <alignment horizontal="center" vertical="center"/>
    </xf>
    <xf numFmtId="179" fontId="2" fillId="4" borderId="4" xfId="0" applyNumberFormat="1" applyFont="1" applyFill="1" applyBorder="1" applyAlignment="1">
      <alignment horizontal="center" vertical="center"/>
    </xf>
    <xf numFmtId="179" fontId="2" fillId="4" borderId="3" xfId="0" applyNumberFormat="1" applyFont="1" applyFill="1" applyBorder="1" applyAlignment="1">
      <alignment horizontal="center" vertical="center"/>
    </xf>
    <xf numFmtId="181"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82" fontId="2" fillId="0" borderId="1" xfId="0" applyNumberFormat="1" applyFont="1" applyFill="1" applyBorder="1" applyAlignment="1">
      <alignment horizontal="center" vertical="center"/>
    </xf>
    <xf numFmtId="181" fontId="2" fillId="0" borderId="1" xfId="0" applyNumberFormat="1" applyFont="1" applyFill="1" applyBorder="1" applyAlignment="1">
      <alignment horizontal="center" vertical="center"/>
    </xf>
    <xf numFmtId="183" fontId="2" fillId="0" borderId="1" xfId="0" applyNumberFormat="1" applyFont="1" applyFill="1" applyBorder="1" applyAlignment="1">
      <alignment horizontal="center" vertical="center"/>
    </xf>
    <xf numFmtId="179" fontId="2" fillId="0" borderId="1" xfId="0" applyNumberFormat="1" applyFont="1" applyFill="1" applyBorder="1" applyAlignment="1">
      <alignment horizontal="center" vertical="center"/>
    </xf>
    <xf numFmtId="20" fontId="2" fillId="0" borderId="1" xfId="0" applyNumberFormat="1" applyFont="1" applyFill="1" applyBorder="1" applyAlignment="1">
      <alignment horizontal="center" vertical="center"/>
    </xf>
    <xf numFmtId="179" fontId="4" fillId="0" borderId="1" xfId="0" applyNumberFormat="1" applyFont="1" applyFill="1" applyBorder="1" applyAlignment="1">
      <alignment horizontal="center" vertical="center" wrapText="1"/>
    </xf>
    <xf numFmtId="0" fontId="5" fillId="0" borderId="0" xfId="0" applyFont="1" applyFill="1" applyAlignment="1">
      <alignment vertical="center"/>
    </xf>
    <xf numFmtId="179" fontId="6" fillId="0" borderId="1" xfId="0" applyNumberFormat="1" applyFont="1" applyFill="1" applyBorder="1" applyAlignment="1">
      <alignment horizontal="center"/>
    </xf>
    <xf numFmtId="179" fontId="6" fillId="3" borderId="1" xfId="0" applyNumberFormat="1" applyFont="1" applyFill="1" applyBorder="1" applyAlignment="1">
      <alignment horizontal="center" wrapText="1"/>
    </xf>
    <xf numFmtId="0" fontId="6" fillId="0" borderId="1" xfId="0" applyNumberFormat="1" applyFont="1" applyFill="1" applyBorder="1" applyAlignment="1">
      <alignment horizontal="center" wrapText="1"/>
    </xf>
    <xf numFmtId="179" fontId="6" fillId="3" borderId="1" xfId="0" applyNumberFormat="1" applyFont="1" applyFill="1" applyBorder="1" applyAlignment="1">
      <alignment horizontal="center"/>
    </xf>
    <xf numFmtId="179" fontId="7" fillId="0" borderId="1" xfId="0" applyNumberFormat="1" applyFont="1" applyFill="1" applyBorder="1" applyAlignment="1">
      <alignment horizontal="center"/>
    </xf>
    <xf numFmtId="0" fontId="2" fillId="0" borderId="0" xfId="0" applyFont="1" applyFill="1" applyAlignment="1">
      <alignment horizontal="left"/>
    </xf>
    <xf numFmtId="0" fontId="2" fillId="0" borderId="0" xfId="0" applyFont="1" applyFill="1" applyAlignment="1"/>
    <xf numFmtId="0" fontId="2" fillId="0" borderId="0" xfId="0" applyFont="1" applyFill="1" applyAlignment="1">
      <alignment wrapText="1"/>
    </xf>
    <xf numFmtId="0" fontId="9" fillId="0" borderId="0" xfId="0" applyFont="1" applyFill="1" applyAlignment="1">
      <alignment vertical="center"/>
    </xf>
    <xf numFmtId="0" fontId="8" fillId="0" borderId="0" xfId="0" applyFont="1" applyFill="1" applyAlignment="1">
      <alignment vertical="center"/>
    </xf>
    <xf numFmtId="0" fontId="2"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2" fillId="6" borderId="7" xfId="0" applyFont="1" applyFill="1" applyBorder="1" applyAlignment="1">
      <alignment horizontal="center" vertical="center"/>
    </xf>
    <xf numFmtId="180" fontId="3" fillId="8" borderId="1" xfId="0" applyNumberFormat="1" applyFont="1" applyFill="1" applyBorder="1" applyAlignment="1">
      <alignment horizontal="center" vertical="center" wrapText="1"/>
    </xf>
    <xf numFmtId="180" fontId="2" fillId="0" borderId="1" xfId="0" applyNumberFormat="1" applyFont="1" applyFill="1" applyBorder="1" applyAlignment="1">
      <alignment horizontal="center" vertical="center" wrapText="1"/>
    </xf>
    <xf numFmtId="180" fontId="2" fillId="0" borderId="2" xfId="0" applyNumberFormat="1" applyFont="1" applyFill="1" applyBorder="1" applyAlignment="1">
      <alignment vertical="center" wrapText="1"/>
    </xf>
    <xf numFmtId="180" fontId="2" fillId="0" borderId="1" xfId="0" applyNumberFormat="1" applyFont="1" applyFill="1" applyBorder="1" applyAlignment="1">
      <alignment vertical="center" wrapText="1"/>
    </xf>
    <xf numFmtId="181" fontId="2" fillId="8" borderId="1" xfId="0" applyNumberFormat="1" applyFont="1" applyFill="1" applyBorder="1" applyAlignment="1">
      <alignment horizontal="center" vertical="center" wrapText="1"/>
    </xf>
    <xf numFmtId="181" fontId="2" fillId="0" borderId="1" xfId="0" applyNumberFormat="1" applyFont="1" applyFill="1" applyBorder="1" applyAlignment="1">
      <alignment horizontal="center" vertical="center" wrapText="1"/>
    </xf>
    <xf numFmtId="182" fontId="2" fillId="0" borderId="1" xfId="0" applyNumberFormat="1" applyFont="1" applyFill="1" applyBorder="1" applyAlignment="1">
      <alignment horizontal="center" vertical="center" wrapText="1"/>
    </xf>
    <xf numFmtId="183" fontId="2" fillId="0" borderId="1" xfId="0" applyNumberFormat="1" applyFont="1" applyFill="1" applyBorder="1" applyAlignment="1">
      <alignment horizontal="center" vertical="center" wrapText="1"/>
    </xf>
    <xf numFmtId="179" fontId="2" fillId="8" borderId="1" xfId="0" applyNumberFormat="1" applyFont="1" applyFill="1" applyBorder="1" applyAlignment="1">
      <alignment horizontal="center" vertical="center" wrapText="1"/>
    </xf>
    <xf numFmtId="20" fontId="2" fillId="8" borderId="1" xfId="0" applyNumberFormat="1" applyFont="1" applyFill="1" applyBorder="1" applyAlignment="1">
      <alignment horizontal="center" vertical="center" wrapText="1"/>
    </xf>
    <xf numFmtId="180" fontId="2" fillId="0" borderId="11" xfId="0" applyNumberFormat="1" applyFont="1" applyFill="1" applyBorder="1" applyAlignment="1">
      <alignment vertical="center" wrapText="1"/>
    </xf>
    <xf numFmtId="179" fontId="2" fillId="6" borderId="1" xfId="0" applyNumberFormat="1" applyFont="1" applyFill="1" applyBorder="1" applyAlignment="1">
      <alignment horizontal="center" vertical="center"/>
    </xf>
    <xf numFmtId="179" fontId="11" fillId="6" borderId="1" xfId="0" applyNumberFormat="1" applyFont="1" applyFill="1" applyBorder="1" applyAlignment="1">
      <alignment vertical="center" wrapText="1"/>
    </xf>
    <xf numFmtId="0" fontId="2" fillId="8" borderId="1" xfId="0" applyFont="1" applyFill="1" applyBorder="1" applyAlignment="1">
      <alignment horizontal="center" vertical="center" wrapText="1"/>
    </xf>
    <xf numFmtId="179" fontId="2" fillId="8" borderId="1" xfId="0" applyNumberFormat="1" applyFont="1" applyFill="1" applyBorder="1" applyAlignment="1">
      <alignment horizontal="center" vertical="center"/>
    </xf>
    <xf numFmtId="179" fontId="2" fillId="0" borderId="1" xfId="0" applyNumberFormat="1" applyFont="1" applyFill="1" applyBorder="1" applyAlignment="1">
      <alignment vertical="center" wrapText="1"/>
    </xf>
    <xf numFmtId="0" fontId="2" fillId="6" borderId="5" xfId="0" applyFont="1" applyFill="1" applyBorder="1" applyAlignment="1">
      <alignment horizontal="center" vertical="center"/>
    </xf>
    <xf numFmtId="179" fontId="2" fillId="8" borderId="5" xfId="0" applyNumberFormat="1" applyFont="1" applyFill="1" applyBorder="1" applyAlignment="1">
      <alignment horizontal="center" vertical="center"/>
    </xf>
    <xf numFmtId="179" fontId="2" fillId="0" borderId="5" xfId="0" applyNumberFormat="1" applyFont="1" applyFill="1" applyBorder="1" applyAlignment="1">
      <alignment horizontal="center" vertical="center"/>
    </xf>
    <xf numFmtId="0" fontId="9" fillId="0" borderId="0" xfId="0" applyFont="1" applyFill="1" applyAlignment="1">
      <alignment horizontal="center" vertical="center"/>
    </xf>
    <xf numFmtId="0" fontId="8" fillId="0" borderId="0" xfId="0" applyFont="1" applyFill="1" applyAlignment="1">
      <alignment horizontal="center" vertical="center"/>
    </xf>
    <xf numFmtId="0" fontId="10" fillId="0" borderId="0" xfId="0" applyFont="1" applyFill="1" applyAlignment="1">
      <alignment horizontal="center"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178" fontId="2" fillId="6" borderId="1" xfId="0" applyNumberFormat="1" applyFont="1" applyFill="1" applyBorder="1" applyAlignment="1">
      <alignment horizontal="center" vertical="center"/>
    </xf>
    <xf numFmtId="0" fontId="2" fillId="6" borderId="7" xfId="0" applyFont="1" applyFill="1" applyBorder="1" applyAlignment="1">
      <alignment horizontal="center" vertical="center"/>
    </xf>
    <xf numFmtId="0" fontId="2" fillId="6" borderId="7" xfId="0" applyFont="1" applyFill="1" applyBorder="1" applyAlignment="1">
      <alignment horizontal="center" vertical="center" wrapText="1"/>
    </xf>
    <xf numFmtId="179" fontId="2" fillId="8" borderId="2" xfId="0" applyNumberFormat="1" applyFont="1" applyFill="1" applyBorder="1" applyAlignment="1">
      <alignment horizontal="center" vertical="center" wrapText="1"/>
    </xf>
    <xf numFmtId="179" fontId="2" fillId="8" borderId="4" xfId="0" applyNumberFormat="1" applyFont="1" applyFill="1" applyBorder="1" applyAlignment="1">
      <alignment horizontal="center" vertical="center" wrapText="1"/>
    </xf>
    <xf numFmtId="179" fontId="2" fillId="8" borderId="3" xfId="0" applyNumberFormat="1" applyFont="1" applyFill="1" applyBorder="1" applyAlignment="1">
      <alignment horizontal="center" vertical="center" wrapText="1"/>
    </xf>
    <xf numFmtId="180" fontId="2" fillId="0" borderId="2" xfId="0" applyNumberFormat="1" applyFont="1" applyFill="1" applyBorder="1" applyAlignment="1">
      <alignment horizontal="center" vertical="center" wrapText="1"/>
    </xf>
    <xf numFmtId="180" fontId="2" fillId="0" borderId="4" xfId="0" applyNumberFormat="1" applyFont="1" applyFill="1" applyBorder="1" applyAlignment="1">
      <alignment horizontal="center" vertical="center" wrapText="1"/>
    </xf>
    <xf numFmtId="180" fontId="2" fillId="0" borderId="2" xfId="0" applyNumberFormat="1" applyFont="1" applyFill="1" applyBorder="1" applyAlignment="1">
      <alignment horizontal="center" vertical="center"/>
    </xf>
    <xf numFmtId="180" fontId="2" fillId="0" borderId="4" xfId="0" applyNumberFormat="1" applyFont="1" applyFill="1" applyBorder="1" applyAlignment="1">
      <alignment horizontal="center" vertical="center"/>
    </xf>
    <xf numFmtId="180" fontId="2" fillId="0" borderId="3" xfId="0" applyNumberFormat="1" applyFont="1" applyFill="1" applyBorder="1" applyAlignment="1">
      <alignment horizontal="center" vertical="center"/>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4" xfId="0" applyFont="1" applyFill="1" applyBorder="1" applyAlignment="1">
      <alignment horizontal="center" vertical="center" wrapText="1"/>
    </xf>
    <xf numFmtId="179" fontId="2" fillId="0" borderId="8" xfId="0" applyNumberFormat="1" applyFont="1" applyFill="1" applyBorder="1" applyAlignment="1">
      <alignment horizontal="center" vertical="center" wrapText="1"/>
    </xf>
    <xf numFmtId="179" fontId="2" fillId="0" borderId="9" xfId="0" applyNumberFormat="1" applyFont="1" applyFill="1" applyBorder="1" applyAlignment="1">
      <alignment horizontal="center" vertical="center" wrapText="1"/>
    </xf>
    <xf numFmtId="179" fontId="2" fillId="0" borderId="10" xfId="0" applyNumberFormat="1" applyFont="1" applyFill="1" applyBorder="1" applyAlignment="1">
      <alignment horizontal="center" vertical="center" wrapText="1"/>
    </xf>
    <xf numFmtId="179" fontId="2" fillId="0" borderId="2" xfId="0" applyNumberFormat="1" applyFont="1" applyFill="1" applyBorder="1" applyAlignment="1">
      <alignment horizontal="center" vertical="center" wrapText="1"/>
    </xf>
    <xf numFmtId="179" fontId="2" fillId="0" borderId="4" xfId="0" applyNumberFormat="1" applyFont="1" applyFill="1" applyBorder="1" applyAlignment="1">
      <alignment horizontal="center" vertical="center" wrapText="1"/>
    </xf>
    <xf numFmtId="179" fontId="2" fillId="0" borderId="3" xfId="0" applyNumberFormat="1" applyFont="1" applyFill="1" applyBorder="1" applyAlignment="1">
      <alignment horizontal="center" vertical="center" wrapText="1"/>
    </xf>
    <xf numFmtId="20" fontId="2" fillId="8" borderId="2" xfId="0" applyNumberFormat="1" applyFont="1" applyFill="1" applyBorder="1" applyAlignment="1">
      <alignment horizontal="center" vertical="center" wrapText="1"/>
    </xf>
    <xf numFmtId="20" fontId="2" fillId="8" borderId="4" xfId="0" applyNumberFormat="1" applyFont="1" applyFill="1" applyBorder="1" applyAlignment="1">
      <alignment horizontal="center" vertical="center" wrapText="1"/>
    </xf>
    <xf numFmtId="184" fontId="2" fillId="8" borderId="2" xfId="0" applyNumberFormat="1" applyFont="1" applyFill="1" applyBorder="1" applyAlignment="1">
      <alignment horizontal="center" vertical="center" wrapText="1"/>
    </xf>
    <xf numFmtId="184" fontId="2" fillId="8" borderId="3" xfId="0" applyNumberFormat="1" applyFont="1" applyFill="1" applyBorder="1" applyAlignment="1">
      <alignment horizontal="center" vertical="center" wrapText="1"/>
    </xf>
    <xf numFmtId="184" fontId="2" fillId="8" borderId="4" xfId="0" applyNumberFormat="1" applyFont="1" applyFill="1" applyBorder="1" applyAlignment="1">
      <alignment horizontal="center" vertical="center" wrapText="1"/>
    </xf>
    <xf numFmtId="21" fontId="2" fillId="8" borderId="2" xfId="0" applyNumberFormat="1" applyFont="1" applyFill="1" applyBorder="1" applyAlignment="1">
      <alignment horizontal="center" vertical="center" wrapText="1"/>
    </xf>
    <xf numFmtId="0" fontId="2" fillId="8" borderId="4" xfId="0" applyFont="1" applyFill="1" applyBorder="1" applyAlignment="1">
      <alignment horizontal="center" vertical="center" wrapText="1"/>
    </xf>
    <xf numFmtId="185" fontId="2" fillId="8" borderId="2" xfId="0" applyNumberFormat="1" applyFont="1" applyFill="1" applyBorder="1" applyAlignment="1">
      <alignment horizontal="center" vertical="center" wrapText="1"/>
    </xf>
    <xf numFmtId="185" fontId="2" fillId="8" borderId="3" xfId="0" applyNumberFormat="1" applyFont="1" applyFill="1" applyBorder="1" applyAlignment="1">
      <alignment horizontal="center" vertical="center" wrapText="1"/>
    </xf>
    <xf numFmtId="185" fontId="2" fillId="8" borderId="4" xfId="0" applyNumberFormat="1" applyFont="1" applyFill="1" applyBorder="1" applyAlignment="1">
      <alignment horizontal="center" vertical="center" wrapText="1"/>
    </xf>
    <xf numFmtId="180" fontId="2" fillId="0" borderId="11" xfId="0" applyNumberFormat="1" applyFont="1" applyFill="1" applyBorder="1" applyAlignment="1">
      <alignment horizontal="center" vertical="center" wrapText="1"/>
    </xf>
    <xf numFmtId="180" fontId="2" fillId="0" borderId="12" xfId="0" applyNumberFormat="1" applyFont="1" applyFill="1" applyBorder="1" applyAlignment="1">
      <alignment horizontal="center" vertical="center" wrapText="1"/>
    </xf>
    <xf numFmtId="0" fontId="2" fillId="6" borderId="5" xfId="0" applyFont="1" applyFill="1" applyBorder="1" applyAlignment="1">
      <alignment horizontal="center" vertical="center"/>
    </xf>
    <xf numFmtId="0" fontId="2" fillId="0" borderId="0" xfId="0" applyFont="1" applyFill="1" applyAlignment="1">
      <alignment horizontal="center" wrapText="1"/>
    </xf>
    <xf numFmtId="0" fontId="2" fillId="0" borderId="0" xfId="0" applyFont="1" applyFill="1" applyAlignment="1">
      <alignment horizontal="center"/>
    </xf>
    <xf numFmtId="0" fontId="2" fillId="0" borderId="0" xfId="0" applyFont="1" applyFill="1" applyAlignment="1">
      <alignment horizontal="left"/>
    </xf>
    <xf numFmtId="0" fontId="2" fillId="7" borderId="5"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0" xfId="0" applyFont="1" applyFill="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178" fontId="2" fillId="0" borderId="1" xfId="0" applyNumberFormat="1" applyFont="1" applyFill="1" applyBorder="1" applyAlignment="1">
      <alignment horizontal="center" vertical="center"/>
    </xf>
    <xf numFmtId="178" fontId="2" fillId="0" borderId="1" xfId="0" applyNumberFormat="1" applyFont="1" applyFill="1" applyBorder="1" applyAlignment="1">
      <alignment horizontal="center" vertical="center" wrapText="1"/>
    </xf>
    <xf numFmtId="179" fontId="2" fillId="2" borderId="2" xfId="0" applyNumberFormat="1" applyFont="1" applyFill="1" applyBorder="1" applyAlignment="1">
      <alignment horizontal="center" vertical="center"/>
    </xf>
    <xf numFmtId="179" fontId="2" fillId="2" borderId="4" xfId="0" applyNumberFormat="1" applyFont="1" applyFill="1" applyBorder="1" applyAlignment="1">
      <alignment horizontal="center" vertical="center"/>
    </xf>
    <xf numFmtId="179" fontId="2" fillId="2" borderId="3" xfId="0" applyNumberFormat="1" applyFont="1" applyFill="1" applyBorder="1" applyAlignment="1">
      <alignment horizontal="center" vertical="center"/>
    </xf>
    <xf numFmtId="180" fontId="2" fillId="3" borderId="2" xfId="0" applyNumberFormat="1" applyFont="1" applyFill="1" applyBorder="1" applyAlignment="1">
      <alignment horizontal="center" vertical="center"/>
    </xf>
    <xf numFmtId="180" fontId="2" fillId="3" borderId="4" xfId="0" applyNumberFormat="1" applyFont="1" applyFill="1" applyBorder="1" applyAlignment="1">
      <alignment horizontal="center" vertical="center"/>
    </xf>
    <xf numFmtId="179" fontId="2" fillId="4" borderId="2" xfId="0" applyNumberFormat="1" applyFont="1" applyFill="1" applyBorder="1" applyAlignment="1">
      <alignment horizontal="center" vertical="center"/>
    </xf>
    <xf numFmtId="179" fontId="2" fillId="4" borderId="4" xfId="0" applyNumberFormat="1" applyFont="1" applyFill="1" applyBorder="1" applyAlignment="1">
      <alignment horizontal="center" vertical="center"/>
    </xf>
    <xf numFmtId="179" fontId="2" fillId="4" borderId="3" xfId="0" applyNumberFormat="1"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179" fontId="2" fillId="3" borderId="2" xfId="0" applyNumberFormat="1" applyFont="1" applyFill="1" applyBorder="1" applyAlignment="1">
      <alignment horizontal="center" vertical="center"/>
    </xf>
    <xf numFmtId="179" fontId="2" fillId="3" borderId="4" xfId="0" applyNumberFormat="1" applyFont="1" applyFill="1" applyBorder="1" applyAlignment="1">
      <alignment horizontal="center" vertical="center"/>
    </xf>
    <xf numFmtId="179" fontId="2" fillId="3" borderId="3" xfId="0" applyNumberFormat="1" applyFont="1" applyFill="1" applyBorder="1" applyAlignment="1">
      <alignment horizontal="center" vertical="center"/>
    </xf>
    <xf numFmtId="179" fontId="2" fillId="0" borderId="2" xfId="0" applyNumberFormat="1" applyFont="1" applyFill="1" applyBorder="1" applyAlignment="1">
      <alignment horizontal="center" vertical="center"/>
    </xf>
    <xf numFmtId="179" fontId="2" fillId="0" borderId="4" xfId="0" applyNumberFormat="1" applyFont="1" applyFill="1" applyBorder="1" applyAlignment="1">
      <alignment horizontal="center" vertical="center"/>
    </xf>
    <xf numFmtId="179" fontId="2" fillId="0" borderId="3" xfId="0" applyNumberFormat="1" applyFont="1" applyFill="1" applyBorder="1" applyAlignment="1">
      <alignment horizontal="center" vertical="center"/>
    </xf>
    <xf numFmtId="179" fontId="2" fillId="5" borderId="2" xfId="0" applyNumberFormat="1" applyFont="1" applyFill="1" applyBorder="1" applyAlignment="1">
      <alignment horizontal="center" vertical="center"/>
    </xf>
    <xf numFmtId="179" fontId="2" fillId="5" borderId="4" xfId="0" applyNumberFormat="1" applyFont="1" applyFill="1" applyBorder="1" applyAlignment="1">
      <alignment horizontal="center" vertical="center"/>
    </xf>
    <xf numFmtId="179" fontId="2" fillId="5" borderId="3" xfId="0" applyNumberFormat="1" applyFont="1" applyFill="1" applyBorder="1" applyAlignment="1">
      <alignment horizontal="center" vertical="center"/>
    </xf>
    <xf numFmtId="20" fontId="2" fillId="0" borderId="2" xfId="0" applyNumberFormat="1" applyFont="1" applyFill="1" applyBorder="1" applyAlignment="1">
      <alignment horizontal="center" vertical="center"/>
    </xf>
    <xf numFmtId="20" fontId="2" fillId="0" borderId="4" xfId="0" applyNumberFormat="1" applyFont="1" applyFill="1" applyBorder="1" applyAlignment="1">
      <alignment horizontal="center" vertical="center"/>
    </xf>
    <xf numFmtId="184" fontId="2" fillId="0" borderId="2" xfId="0" applyNumberFormat="1" applyFont="1" applyFill="1" applyBorder="1" applyAlignment="1">
      <alignment horizontal="center" vertical="center"/>
    </xf>
    <xf numFmtId="184" fontId="2" fillId="0" borderId="3" xfId="0" applyNumberFormat="1" applyFont="1" applyFill="1" applyBorder="1" applyAlignment="1">
      <alignment horizontal="center" vertical="center"/>
    </xf>
    <xf numFmtId="184" fontId="2" fillId="0" borderId="4" xfId="0" applyNumberFormat="1" applyFont="1" applyFill="1" applyBorder="1" applyAlignment="1">
      <alignment horizontal="center" vertical="center"/>
    </xf>
    <xf numFmtId="21" fontId="2" fillId="0" borderId="2" xfId="0" applyNumberFormat="1" applyFont="1" applyFill="1" applyBorder="1" applyAlignment="1">
      <alignment horizontal="center" vertical="center"/>
    </xf>
    <xf numFmtId="185" fontId="2" fillId="0" borderId="2" xfId="0" applyNumberFormat="1" applyFont="1" applyFill="1" applyBorder="1" applyAlignment="1">
      <alignment horizontal="center" vertical="center"/>
    </xf>
    <xf numFmtId="185" fontId="2" fillId="0" borderId="3" xfId="0" applyNumberFormat="1" applyFont="1" applyFill="1" applyBorder="1" applyAlignment="1">
      <alignment horizontal="center" vertical="center"/>
    </xf>
    <xf numFmtId="185" fontId="2" fillId="0" borderId="4"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88900</xdr:rowOff>
    </xdr:from>
    <xdr:to>
      <xdr:col>2</xdr:col>
      <xdr:colOff>553720</xdr:colOff>
      <xdr:row>0</xdr:row>
      <xdr:rowOff>459740</xdr:rowOff>
    </xdr:to>
    <xdr:sp macro="" textlink="">
      <xdr:nvSpPr>
        <xdr:cNvPr id="2" name="圆角矩形 1"/>
        <xdr:cNvSpPr/>
      </xdr:nvSpPr>
      <xdr:spPr>
        <a:xfrm>
          <a:off x="114300" y="88900"/>
          <a:ext cx="1630045" cy="370840"/>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b="1">
              <a:solidFill>
                <a:sysClr val="windowText" lastClr="000000"/>
              </a:solidFill>
            </a:rPr>
            <a:t>2025-11-10</a:t>
          </a:r>
        </a:p>
      </xdr:txBody>
    </xdr:sp>
    <xdr:clientData/>
  </xdr:twoCellAnchor>
  <xdr:twoCellAnchor editAs="oneCell">
    <xdr:from>
      <xdr:col>2</xdr:col>
      <xdr:colOff>137160</xdr:colOff>
      <xdr:row>0</xdr:row>
      <xdr:rowOff>126365</xdr:rowOff>
    </xdr:from>
    <xdr:to>
      <xdr:col>2</xdr:col>
      <xdr:colOff>436880</xdr:colOff>
      <xdr:row>0</xdr:row>
      <xdr:rowOff>426085</xdr:rowOff>
    </xdr:to>
    <xdr:pic>
      <xdr:nvPicPr>
        <xdr:cNvPr id="3" name="图片 2" descr="日期"/>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327785" y="126365"/>
          <a:ext cx="299720" cy="299720"/>
        </a:xfrm>
        <a:prstGeom prst="rect">
          <a:avLst/>
        </a:prstGeom>
      </xdr:spPr>
    </xdr:pic>
    <xdr:clientData/>
  </xdr:twoCellAnchor>
  <xdr:twoCellAnchor>
    <xdr:from>
      <xdr:col>16</xdr:col>
      <xdr:colOff>1989455</xdr:colOff>
      <xdr:row>0</xdr:row>
      <xdr:rowOff>115570</xdr:rowOff>
    </xdr:from>
    <xdr:to>
      <xdr:col>17</xdr:col>
      <xdr:colOff>805815</xdr:colOff>
      <xdr:row>0</xdr:row>
      <xdr:rowOff>454025</xdr:rowOff>
    </xdr:to>
    <xdr:sp macro="" textlink="">
      <xdr:nvSpPr>
        <xdr:cNvPr id="4" name="圆角矩形 3"/>
        <xdr:cNvSpPr/>
      </xdr:nvSpPr>
      <xdr:spPr>
        <a:xfrm>
          <a:off x="19531330" y="115570"/>
          <a:ext cx="909320" cy="338455"/>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b="1">
              <a:solidFill>
                <a:sysClr val="windowText" lastClr="000000"/>
              </a:solidFill>
            </a:rPr>
            <a:t>提交</a:t>
          </a:r>
        </a:p>
      </xdr:txBody>
    </xdr:sp>
    <xdr:clientData/>
  </xdr:twoCellAnchor>
  <xdr:twoCellAnchor>
    <xdr:from>
      <xdr:col>17</xdr:col>
      <xdr:colOff>932815</xdr:colOff>
      <xdr:row>0</xdr:row>
      <xdr:rowOff>123825</xdr:rowOff>
    </xdr:from>
    <xdr:to>
      <xdr:col>17</xdr:col>
      <xdr:colOff>1807210</xdr:colOff>
      <xdr:row>0</xdr:row>
      <xdr:rowOff>462280</xdr:rowOff>
    </xdr:to>
    <xdr:sp macro="" textlink="">
      <xdr:nvSpPr>
        <xdr:cNvPr id="6" name="圆角矩形 5"/>
        <xdr:cNvSpPr/>
      </xdr:nvSpPr>
      <xdr:spPr>
        <a:xfrm>
          <a:off x="20567650" y="123825"/>
          <a:ext cx="874395" cy="338455"/>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b="1">
              <a:solidFill>
                <a:sysClr val="windowText" lastClr="000000"/>
              </a:solidFill>
            </a:rPr>
            <a:t>审核确认</a:t>
          </a:r>
        </a:p>
      </xdr:txBody>
    </xdr:sp>
    <xdr:clientData/>
  </xdr:twoCellAnchor>
  <xdr:twoCellAnchor>
    <xdr:from>
      <xdr:col>16</xdr:col>
      <xdr:colOff>1063625</xdr:colOff>
      <xdr:row>0</xdr:row>
      <xdr:rowOff>113030</xdr:rowOff>
    </xdr:from>
    <xdr:to>
      <xdr:col>16</xdr:col>
      <xdr:colOff>1882140</xdr:colOff>
      <xdr:row>0</xdr:row>
      <xdr:rowOff>451485</xdr:rowOff>
    </xdr:to>
    <xdr:sp macro="" textlink="">
      <xdr:nvSpPr>
        <xdr:cNvPr id="7" name="圆角矩形 6"/>
        <xdr:cNvSpPr/>
      </xdr:nvSpPr>
      <xdr:spPr>
        <a:xfrm>
          <a:off x="18605500" y="113030"/>
          <a:ext cx="818515" cy="338455"/>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b="1">
              <a:solidFill>
                <a:sysClr val="windowText" lastClr="000000"/>
              </a:solidFill>
            </a:rPr>
            <a:t>编辑</a:t>
          </a:r>
        </a:p>
      </xdr:txBody>
    </xdr:sp>
    <xdr:clientData/>
  </xdr:twoCellAnchor>
  <xdr:twoCellAnchor>
    <xdr:from>
      <xdr:col>16</xdr:col>
      <xdr:colOff>91440</xdr:colOff>
      <xdr:row>0</xdr:row>
      <xdr:rowOff>118745</xdr:rowOff>
    </xdr:from>
    <xdr:to>
      <xdr:col>16</xdr:col>
      <xdr:colOff>909955</xdr:colOff>
      <xdr:row>0</xdr:row>
      <xdr:rowOff>457200</xdr:rowOff>
    </xdr:to>
    <xdr:sp macro="" textlink="">
      <xdr:nvSpPr>
        <xdr:cNvPr id="8" name="圆角矩形 7"/>
        <xdr:cNvSpPr/>
      </xdr:nvSpPr>
      <xdr:spPr>
        <a:xfrm>
          <a:off x="17633315" y="118745"/>
          <a:ext cx="818515" cy="338455"/>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b="1">
              <a:solidFill>
                <a:sysClr val="windowText" lastClr="000000"/>
              </a:solidFill>
            </a:rPr>
            <a:t>导出</a:t>
          </a:r>
        </a:p>
      </xdr:txBody>
    </xdr:sp>
    <xdr:clientData/>
  </xdr:twoCellAnchor>
  <xdr:twoCellAnchor>
    <xdr:from>
      <xdr:col>3</xdr:col>
      <xdr:colOff>78740</xdr:colOff>
      <xdr:row>0</xdr:row>
      <xdr:rowOff>89535</xdr:rowOff>
    </xdr:from>
    <xdr:to>
      <xdr:col>4</xdr:col>
      <xdr:colOff>757555</xdr:colOff>
      <xdr:row>0</xdr:row>
      <xdr:rowOff>445135</xdr:rowOff>
    </xdr:to>
    <xdr:grpSp>
      <xdr:nvGrpSpPr>
        <xdr:cNvPr id="9" name="组合 8"/>
        <xdr:cNvGrpSpPr/>
      </xdr:nvGrpSpPr>
      <xdr:grpSpPr>
        <a:xfrm>
          <a:off x="2231390" y="89535"/>
          <a:ext cx="1650365" cy="355600"/>
          <a:chOff x="2565" y="85"/>
          <a:chExt cx="2376" cy="560"/>
        </a:xfrm>
      </xdr:grpSpPr>
      <xdr:sp macro="" textlink="">
        <xdr:nvSpPr>
          <xdr:cNvPr id="10" name="圆角矩形 9"/>
          <xdr:cNvSpPr/>
        </xdr:nvSpPr>
        <xdr:spPr>
          <a:xfrm>
            <a:off x="2565" y="85"/>
            <a:ext cx="2376" cy="560"/>
          </a:xfrm>
          <a:prstGeom prst="roundRect">
            <a:avLst/>
          </a:prstGeom>
          <a:solidFill>
            <a:schemeClr val="accent1">
              <a:lumMod val="20000"/>
              <a:lumOff val="8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b="1">
                <a:solidFill>
                  <a:sysClr val="windowText" lastClr="000000"/>
                </a:solidFill>
              </a:rPr>
              <a:t>新宁糖业</a:t>
            </a:r>
          </a:p>
        </xdr:txBody>
      </xdr:sp>
      <xdr:sp macro="" textlink="">
        <xdr:nvSpPr>
          <xdr:cNvPr id="11" name="等腰三角形 10"/>
          <xdr:cNvSpPr/>
        </xdr:nvSpPr>
        <xdr:spPr>
          <a:xfrm rot="10800000" flipH="1">
            <a:off x="4328" y="208"/>
            <a:ext cx="416" cy="303"/>
          </a:xfrm>
          <a:prstGeom prst="triangle">
            <a:avLst/>
          </a:prstGeom>
          <a:solidFill>
            <a:schemeClr val="bg2">
              <a:lumMod val="75000"/>
            </a:schemeClr>
          </a:solidFill>
          <a:ln>
            <a:solidFill>
              <a:schemeClr val="bg2">
                <a:lumMod val="75000"/>
              </a:schemeClr>
            </a:soli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1103;&#26412;&#21046;&#31958;&#36710;&#38388;&#25253;&#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3"/>
      <sheetName val="10.4"/>
      <sheetName val="10.5"/>
      <sheetName val="10.6"/>
      <sheetName val="10.7"/>
      <sheetName val="10.8"/>
      <sheetName val="10.9"/>
      <sheetName val="10.10"/>
      <sheetName val="10.11"/>
      <sheetName val="10.12"/>
      <sheetName val="10.13"/>
      <sheetName val="10.14"/>
      <sheetName val="10.15"/>
      <sheetName val="10.16"/>
      <sheetName val="10.17"/>
      <sheetName val="10.18"/>
      <sheetName val="10.19"/>
      <sheetName val="10.20"/>
      <sheetName val="10.21"/>
      <sheetName val="10.22"/>
      <sheetName val="10.23"/>
      <sheetName val="10.24"/>
      <sheetName val="10.25"/>
      <sheetName val="10.26"/>
      <sheetName val="10.27"/>
      <sheetName val="10.28"/>
      <sheetName val="10.29"/>
      <sheetName val="10.30"/>
      <sheetName val="10.31"/>
      <sheetName val="11.1"/>
      <sheetName val="1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4">
          <cell r="M4">
            <v>6841.78</v>
          </cell>
          <cell r="N4">
            <v>9032.4599999999991</v>
          </cell>
          <cell r="O4">
            <v>61393.13</v>
          </cell>
        </row>
        <row r="5">
          <cell r="M5">
            <v>6839.5</v>
          </cell>
          <cell r="N5">
            <v>9030.6</v>
          </cell>
          <cell r="O5">
            <v>61390.84</v>
          </cell>
        </row>
        <row r="6">
          <cell r="M6">
            <v>13681.28</v>
          </cell>
          <cell r="N6">
            <v>18063.060000000001</v>
          </cell>
          <cell r="O6">
            <v>122783.97</v>
          </cell>
        </row>
        <row r="7">
          <cell r="M7">
            <v>1955</v>
          </cell>
          <cell r="N7">
            <v>2570</v>
          </cell>
          <cell r="O7">
            <v>15810.5</v>
          </cell>
        </row>
        <row r="8">
          <cell r="M8">
            <v>0</v>
          </cell>
          <cell r="N8">
            <v>0</v>
          </cell>
          <cell r="O8">
            <v>141</v>
          </cell>
        </row>
        <row r="9">
          <cell r="M9">
            <v>0</v>
          </cell>
          <cell r="N9">
            <v>0</v>
          </cell>
          <cell r="O9">
            <v>0</v>
          </cell>
        </row>
        <row r="10">
          <cell r="M10">
            <v>1955</v>
          </cell>
          <cell r="N10">
            <v>2570</v>
          </cell>
          <cell r="O10">
            <v>15951.5</v>
          </cell>
        </row>
        <row r="11">
          <cell r="M11">
            <v>2186.1269080000002</v>
          </cell>
          <cell r="N11">
            <v>2901.6738439999999</v>
          </cell>
          <cell r="O11">
            <v>19628.392405999999</v>
          </cell>
        </row>
        <row r="12">
          <cell r="M12">
            <v>40.333123000000001</v>
          </cell>
          <cell r="N12">
            <v>52.164102999999997</v>
          </cell>
          <cell r="O12">
            <v>340.773754</v>
          </cell>
        </row>
        <row r="13">
          <cell r="M13">
            <v>10.396751399999999</v>
          </cell>
          <cell r="N13">
            <v>13.3762226</v>
          </cell>
          <cell r="O13">
            <v>89.488304499999998</v>
          </cell>
        </row>
        <row r="14">
          <cell r="M14">
            <v>194.76560000000001</v>
          </cell>
          <cell r="N14">
            <v>287.63560000000001</v>
          </cell>
          <cell r="O14">
            <v>1803.8965000000001</v>
          </cell>
        </row>
        <row r="15">
          <cell r="M15">
            <v>335.8125</v>
          </cell>
          <cell r="N15">
            <v>495.8125</v>
          </cell>
          <cell r="O15">
            <v>3107.1631000000002</v>
          </cell>
        </row>
        <row r="16">
          <cell r="M16">
            <v>419</v>
          </cell>
          <cell r="N16">
            <v>619</v>
          </cell>
          <cell r="O16">
            <v>3881</v>
          </cell>
        </row>
        <row r="17">
          <cell r="M17">
            <v>0</v>
          </cell>
          <cell r="N17">
            <v>0</v>
          </cell>
          <cell r="O17">
            <v>0</v>
          </cell>
        </row>
        <row r="18">
          <cell r="M18">
            <v>12084.812101</v>
          </cell>
          <cell r="N18">
            <v>15955.457203</v>
          </cell>
          <cell r="O18">
            <v>108498.03191419999</v>
          </cell>
        </row>
        <row r="19">
          <cell r="M19">
            <v>625.5</v>
          </cell>
          <cell r="N19">
            <v>844.5</v>
          </cell>
          <cell r="O19">
            <v>6348</v>
          </cell>
        </row>
        <row r="20">
          <cell r="M20">
            <v>62.55</v>
          </cell>
          <cell r="N20">
            <v>84.45</v>
          </cell>
          <cell r="O20">
            <v>625.25</v>
          </cell>
        </row>
        <row r="21">
          <cell r="M21">
            <v>5</v>
          </cell>
          <cell r="N21">
            <v>7</v>
          </cell>
          <cell r="O21">
            <v>44.5</v>
          </cell>
        </row>
        <row r="22">
          <cell r="M22">
            <v>3</v>
          </cell>
          <cell r="N22">
            <v>4</v>
          </cell>
          <cell r="O22">
            <v>30</v>
          </cell>
        </row>
        <row r="23">
          <cell r="M23">
            <v>0</v>
          </cell>
          <cell r="N23">
            <v>0</v>
          </cell>
          <cell r="O23">
            <v>0</v>
          </cell>
        </row>
        <row r="25">
          <cell r="Q25">
            <v>351.49390622104897</v>
          </cell>
        </row>
        <row r="26">
          <cell r="Q26">
            <v>463.91449999999998</v>
          </cell>
        </row>
        <row r="27">
          <cell r="Q27">
            <v>759.76850000000002</v>
          </cell>
        </row>
        <row r="28">
          <cell r="Q28">
            <v>42.94</v>
          </cell>
        </row>
        <row r="29">
          <cell r="Q29">
            <v>7.9050000000000002</v>
          </cell>
        </row>
        <row r="30">
          <cell r="Q30">
            <v>622.93899999999996</v>
          </cell>
        </row>
        <row r="31">
          <cell r="Q31">
            <v>1002.9615</v>
          </cell>
        </row>
        <row r="32">
          <cell r="Q32">
            <v>20.954999999999998</v>
          </cell>
        </row>
        <row r="33">
          <cell r="Q33">
            <v>2409.1035000000002</v>
          </cell>
        </row>
        <row r="34">
          <cell r="Q34">
            <v>2562.6610000000001</v>
          </cell>
        </row>
        <row r="35">
          <cell r="Q35">
            <v>2599.5140000000001</v>
          </cell>
        </row>
        <row r="36">
          <cell r="Q36">
            <v>1804.3955000000001</v>
          </cell>
        </row>
        <row r="37">
          <cell r="Q37">
            <v>4028.549</v>
          </cell>
        </row>
        <row r="38">
          <cell r="Q38">
            <v>1447.45</v>
          </cell>
        </row>
        <row r="39">
          <cell r="Q39">
            <v>1161.855</v>
          </cell>
        </row>
        <row r="40">
          <cell r="Q40">
            <v>1999.085</v>
          </cell>
        </row>
      </sheetData>
      <sheetData sheetId="30"/>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54"/>
  <sheetViews>
    <sheetView tabSelected="1" zoomScale="50" zoomScaleNormal="50" workbookViewId="0">
      <pane ySplit="4" topLeftCell="A5" activePane="bottomLeft" state="frozen"/>
      <selection pane="bottomLeft" activeCell="U8" sqref="U8"/>
    </sheetView>
  </sheetViews>
  <sheetFormatPr defaultColWidth="9" defaultRowHeight="13.5"/>
  <cols>
    <col min="1" max="1" width="4.75" style="1" customWidth="1"/>
    <col min="2" max="2" width="13.25" style="1" customWidth="1"/>
    <col min="3" max="3" width="10.25" style="1" customWidth="1"/>
    <col min="4" max="4" width="12.625" style="1" customWidth="1"/>
    <col min="5" max="6" width="12.25" style="1" customWidth="1"/>
    <col min="7" max="7" width="11.875" style="1" customWidth="1"/>
    <col min="8" max="8" width="11.625" style="1" customWidth="1"/>
    <col min="9" max="9" width="4.625" style="1" customWidth="1"/>
    <col min="10" max="10" width="10.75" style="1" customWidth="1"/>
    <col min="11" max="11" width="22.25" style="1" customWidth="1"/>
    <col min="12" max="12" width="27.875" style="1" customWidth="1"/>
    <col min="13" max="13" width="25.625" style="1" customWidth="1"/>
    <col min="14" max="14" width="24.625" style="1" customWidth="1"/>
    <col min="15" max="15" width="27.75" style="1" customWidth="1"/>
    <col min="16" max="16" width="33.25" style="1" customWidth="1"/>
    <col min="17" max="17" width="31.75" style="1" customWidth="1"/>
    <col min="18" max="18" width="35.75" style="1" customWidth="1"/>
    <col min="19" max="16384" width="9" style="1"/>
  </cols>
  <sheetData>
    <row r="1" spans="1:19" ht="41.1" customHeight="1">
      <c r="A1" s="53" t="s">
        <v>0</v>
      </c>
      <c r="B1" s="53"/>
      <c r="C1" s="53"/>
      <c r="D1" s="53"/>
      <c r="E1" s="53"/>
      <c r="F1" s="53"/>
      <c r="G1" s="53"/>
      <c r="H1" s="53"/>
      <c r="I1" s="53"/>
      <c r="J1" s="53"/>
      <c r="K1" s="53"/>
      <c r="L1" s="53"/>
      <c r="M1" s="53"/>
      <c r="N1" s="53"/>
      <c r="O1" s="53"/>
      <c r="P1" s="53"/>
      <c r="Q1" s="53"/>
      <c r="R1" s="53"/>
      <c r="S1" s="28"/>
    </row>
    <row r="2" spans="1:19" ht="33" customHeight="1">
      <c r="A2" s="54" t="s">
        <v>1</v>
      </c>
      <c r="B2" s="54"/>
      <c r="C2" s="54"/>
      <c r="D2" s="54"/>
      <c r="E2" s="54"/>
      <c r="F2" s="54"/>
      <c r="G2" s="54"/>
      <c r="H2" s="54"/>
      <c r="I2" s="54"/>
      <c r="J2" s="54"/>
      <c r="K2" s="54"/>
      <c r="L2" s="54"/>
      <c r="M2" s="54"/>
      <c r="N2" s="54"/>
      <c r="O2" s="54"/>
      <c r="P2" s="54"/>
      <c r="Q2" s="54"/>
      <c r="R2" s="54"/>
      <c r="S2" s="29" t="s">
        <v>2</v>
      </c>
    </row>
    <row r="3" spans="1:19" ht="20.100000000000001" customHeight="1">
      <c r="A3" s="55" t="s">
        <v>3</v>
      </c>
      <c r="B3" s="56"/>
      <c r="C3" s="56"/>
      <c r="D3" s="56"/>
      <c r="E3" s="56"/>
      <c r="F3" s="56"/>
      <c r="G3" s="56"/>
      <c r="H3" s="56"/>
      <c r="I3" s="56"/>
      <c r="J3" s="57" t="s">
        <v>4</v>
      </c>
      <c r="K3" s="58"/>
      <c r="L3" s="59"/>
      <c r="M3" s="60">
        <v>45963</v>
      </c>
      <c r="N3" s="60"/>
      <c r="O3" s="60"/>
      <c r="P3" s="60"/>
      <c r="Q3" s="60"/>
      <c r="R3" s="60"/>
      <c r="S3" s="28"/>
    </row>
    <row r="4" spans="1:19" ht="20.100000000000001" customHeight="1">
      <c r="A4" s="55" t="s">
        <v>5</v>
      </c>
      <c r="B4" s="56"/>
      <c r="C4" s="56"/>
      <c r="D4" s="56"/>
      <c r="E4" s="31" t="s">
        <v>6</v>
      </c>
      <c r="F4" s="57" t="s">
        <v>7</v>
      </c>
      <c r="G4" s="59"/>
      <c r="H4" s="58" t="s">
        <v>8</v>
      </c>
      <c r="I4" s="58"/>
      <c r="J4" s="59"/>
      <c r="K4" s="31" t="s">
        <v>9</v>
      </c>
      <c r="L4" s="31" t="s">
        <v>10</v>
      </c>
      <c r="M4" s="32" t="s">
        <v>11</v>
      </c>
      <c r="N4" s="32" t="s">
        <v>12</v>
      </c>
      <c r="O4" s="61" t="s">
        <v>13</v>
      </c>
      <c r="P4" s="62"/>
      <c r="Q4" s="32" t="s">
        <v>14</v>
      </c>
      <c r="R4" s="32" t="s">
        <v>15</v>
      </c>
      <c r="S4" s="28"/>
    </row>
    <row r="5" spans="1:19" ht="42.75">
      <c r="A5" s="96" t="s">
        <v>16</v>
      </c>
      <c r="B5" s="56" t="s">
        <v>17</v>
      </c>
      <c r="C5" s="56"/>
      <c r="D5" s="56"/>
      <c r="E5" s="31" t="s">
        <v>18</v>
      </c>
      <c r="F5" s="63" t="s">
        <v>19</v>
      </c>
      <c r="G5" s="64"/>
      <c r="H5" s="65" t="s">
        <v>19</v>
      </c>
      <c r="I5" s="65"/>
      <c r="J5" s="64"/>
      <c r="K5" s="33" t="s">
        <v>19</v>
      </c>
      <c r="L5" s="34" t="s">
        <v>20</v>
      </c>
      <c r="M5" s="34" t="s">
        <v>21</v>
      </c>
      <c r="N5" s="34" t="s">
        <v>22</v>
      </c>
      <c r="O5" s="66" t="s">
        <v>23</v>
      </c>
      <c r="P5" s="67"/>
      <c r="Q5" s="35" t="s">
        <v>24</v>
      </c>
      <c r="R5" s="36" t="s">
        <v>25</v>
      </c>
      <c r="S5" s="28"/>
    </row>
    <row r="6" spans="1:19" ht="42.75">
      <c r="A6" s="97"/>
      <c r="B6" s="56" t="s">
        <v>26</v>
      </c>
      <c r="C6" s="56"/>
      <c r="D6" s="56"/>
      <c r="E6" s="31" t="s">
        <v>18</v>
      </c>
      <c r="F6" s="63" t="s">
        <v>19</v>
      </c>
      <c r="G6" s="64"/>
      <c r="H6" s="65" t="s">
        <v>19</v>
      </c>
      <c r="I6" s="65"/>
      <c r="J6" s="64"/>
      <c r="K6" s="33" t="s">
        <v>19</v>
      </c>
      <c r="L6" s="34" t="s">
        <v>27</v>
      </c>
      <c r="M6" s="34" t="s">
        <v>28</v>
      </c>
      <c r="N6" s="34" t="s">
        <v>29</v>
      </c>
      <c r="O6" s="66" t="s">
        <v>30</v>
      </c>
      <c r="P6" s="67"/>
      <c r="Q6" s="35" t="s">
        <v>31</v>
      </c>
      <c r="R6" s="36" t="s">
        <v>32</v>
      </c>
      <c r="S6" s="28"/>
    </row>
    <row r="7" spans="1:19" ht="27" customHeight="1">
      <c r="A7" s="98"/>
      <c r="B7" s="56" t="s">
        <v>33</v>
      </c>
      <c r="C7" s="56"/>
      <c r="D7" s="56"/>
      <c r="E7" s="31" t="s">
        <v>18</v>
      </c>
      <c r="F7" s="68" t="s">
        <v>34</v>
      </c>
      <c r="G7" s="69"/>
      <c r="H7" s="70" t="s">
        <v>35</v>
      </c>
      <c r="I7" s="70"/>
      <c r="J7" s="69"/>
      <c r="K7" s="6" t="s">
        <v>36</v>
      </c>
      <c r="L7" s="34" t="s">
        <v>37</v>
      </c>
      <c r="M7" s="34" t="s">
        <v>38</v>
      </c>
      <c r="N7" s="34" t="s">
        <v>39</v>
      </c>
      <c r="O7" s="66" t="s">
        <v>40</v>
      </c>
      <c r="P7" s="67"/>
      <c r="Q7" s="35" t="s">
        <v>41</v>
      </c>
      <c r="R7" s="36" t="s">
        <v>42</v>
      </c>
      <c r="S7" s="28"/>
    </row>
    <row r="8" spans="1:19" ht="42.75">
      <c r="A8" s="99" t="s">
        <v>43</v>
      </c>
      <c r="B8" s="55" t="s">
        <v>44</v>
      </c>
      <c r="C8" s="56"/>
      <c r="D8" s="56"/>
      <c r="E8" s="31" t="s">
        <v>18</v>
      </c>
      <c r="F8" s="63" t="s">
        <v>45</v>
      </c>
      <c r="G8" s="64"/>
      <c r="H8" s="65" t="s">
        <v>46</v>
      </c>
      <c r="I8" s="65"/>
      <c r="J8" s="64"/>
      <c r="K8" s="37" t="s">
        <v>47</v>
      </c>
      <c r="L8" s="34" t="s">
        <v>48</v>
      </c>
      <c r="M8" s="34" t="s">
        <v>49</v>
      </c>
      <c r="N8" s="34" t="s">
        <v>50</v>
      </c>
      <c r="O8" s="66" t="s">
        <v>51</v>
      </c>
      <c r="P8" s="67"/>
      <c r="Q8" s="35" t="s">
        <v>52</v>
      </c>
      <c r="R8" s="36" t="s">
        <v>53</v>
      </c>
      <c r="S8" s="28"/>
    </row>
    <row r="9" spans="1:19" ht="42.75">
      <c r="A9" s="99"/>
      <c r="B9" s="56" t="s">
        <v>54</v>
      </c>
      <c r="C9" s="56"/>
      <c r="D9" s="56"/>
      <c r="E9" s="31" t="s">
        <v>18</v>
      </c>
      <c r="F9" s="63" t="s">
        <v>55</v>
      </c>
      <c r="G9" s="64"/>
      <c r="H9" s="65" t="s">
        <v>56</v>
      </c>
      <c r="I9" s="65"/>
      <c r="J9" s="64"/>
      <c r="K9" s="37" t="s">
        <v>57</v>
      </c>
      <c r="L9" s="34" t="s">
        <v>58</v>
      </c>
      <c r="M9" s="34" t="s">
        <v>59</v>
      </c>
      <c r="N9" s="34" t="s">
        <v>60</v>
      </c>
      <c r="O9" s="66" t="s">
        <v>61</v>
      </c>
      <c r="P9" s="67"/>
      <c r="Q9" s="35" t="s">
        <v>62</v>
      </c>
      <c r="R9" s="36" t="s">
        <v>63</v>
      </c>
      <c r="S9" s="28"/>
    </row>
    <row r="10" spans="1:19" ht="28.5">
      <c r="A10" s="99"/>
      <c r="B10" s="71" t="s">
        <v>64</v>
      </c>
      <c r="C10" s="72"/>
      <c r="D10" s="73"/>
      <c r="E10" s="31" t="s">
        <v>18</v>
      </c>
      <c r="F10" s="63" t="s">
        <v>65</v>
      </c>
      <c r="G10" s="64"/>
      <c r="H10" s="65" t="s">
        <v>66</v>
      </c>
      <c r="I10" s="65"/>
      <c r="J10" s="64"/>
      <c r="K10" s="37" t="s">
        <v>67</v>
      </c>
      <c r="L10" s="34" t="s">
        <v>68</v>
      </c>
      <c r="M10" s="34" t="s">
        <v>69</v>
      </c>
      <c r="N10" s="34" t="s">
        <v>70</v>
      </c>
      <c r="O10" s="66" t="s">
        <v>71</v>
      </c>
      <c r="P10" s="67"/>
      <c r="Q10" s="35" t="s">
        <v>72</v>
      </c>
      <c r="R10" s="36" t="s">
        <v>73</v>
      </c>
      <c r="S10" s="28"/>
    </row>
    <row r="11" spans="1:19" ht="47.1" customHeight="1">
      <c r="A11" s="99"/>
      <c r="B11" s="56" t="s">
        <v>33</v>
      </c>
      <c r="C11" s="56"/>
      <c r="D11" s="56"/>
      <c r="E11" s="31" t="s">
        <v>18</v>
      </c>
      <c r="F11" s="74" t="s">
        <v>74</v>
      </c>
      <c r="G11" s="75"/>
      <c r="H11" s="74" t="s">
        <v>75</v>
      </c>
      <c r="I11" s="76"/>
      <c r="J11" s="75"/>
      <c r="K11" s="38" t="s">
        <v>76</v>
      </c>
      <c r="L11" s="34" t="s">
        <v>77</v>
      </c>
      <c r="M11" s="34" t="s">
        <v>78</v>
      </c>
      <c r="N11" s="34" t="s">
        <v>79</v>
      </c>
      <c r="O11" s="66" t="s">
        <v>80</v>
      </c>
      <c r="P11" s="67"/>
      <c r="Q11" s="35" t="s">
        <v>81</v>
      </c>
      <c r="R11" s="36" t="s">
        <v>82</v>
      </c>
      <c r="S11" s="28"/>
    </row>
    <row r="12" spans="1:19" ht="28.5">
      <c r="A12" s="55" t="s">
        <v>83</v>
      </c>
      <c r="B12" s="56"/>
      <c r="C12" s="56"/>
      <c r="D12" s="56"/>
      <c r="E12" s="31" t="s">
        <v>18</v>
      </c>
      <c r="F12" s="77" t="s">
        <v>84</v>
      </c>
      <c r="G12" s="78"/>
      <c r="H12" s="77" t="s">
        <v>85</v>
      </c>
      <c r="I12" s="79"/>
      <c r="J12" s="79"/>
      <c r="K12" s="39" t="s">
        <v>86</v>
      </c>
      <c r="L12" s="34" t="s">
        <v>87</v>
      </c>
      <c r="M12" s="34" t="s">
        <v>88</v>
      </c>
      <c r="N12" s="34" t="s">
        <v>89</v>
      </c>
      <c r="O12" s="66" t="s">
        <v>90</v>
      </c>
      <c r="P12" s="67"/>
      <c r="Q12" s="35" t="s">
        <v>91</v>
      </c>
      <c r="R12" s="36" t="s">
        <v>92</v>
      </c>
      <c r="S12" s="28"/>
    </row>
    <row r="13" spans="1:19" ht="28.5">
      <c r="A13" s="55" t="s">
        <v>93</v>
      </c>
      <c r="B13" s="56"/>
      <c r="C13" s="56"/>
      <c r="D13" s="56"/>
      <c r="E13" s="31" t="s">
        <v>18</v>
      </c>
      <c r="F13" s="77" t="s">
        <v>94</v>
      </c>
      <c r="G13" s="78"/>
      <c r="H13" s="79" t="s">
        <v>95</v>
      </c>
      <c r="I13" s="79"/>
      <c r="J13" s="78"/>
      <c r="K13" s="39" t="s">
        <v>96</v>
      </c>
      <c r="L13" s="34" t="s">
        <v>97</v>
      </c>
      <c r="M13" s="34" t="s">
        <v>98</v>
      </c>
      <c r="N13" s="34" t="s">
        <v>99</v>
      </c>
      <c r="O13" s="66" t="s">
        <v>100</v>
      </c>
      <c r="P13" s="67"/>
      <c r="Q13" s="35" t="s">
        <v>101</v>
      </c>
      <c r="R13" s="36" t="s">
        <v>102</v>
      </c>
      <c r="S13" s="28"/>
    </row>
    <row r="14" spans="1:19" ht="41.1" customHeight="1">
      <c r="A14" s="55" t="s">
        <v>103</v>
      </c>
      <c r="B14" s="56"/>
      <c r="C14" s="56"/>
      <c r="D14" s="56"/>
      <c r="E14" s="31" t="s">
        <v>18</v>
      </c>
      <c r="F14" s="77" t="s">
        <v>104</v>
      </c>
      <c r="G14" s="78"/>
      <c r="H14" s="77" t="s">
        <v>105</v>
      </c>
      <c r="I14" s="79"/>
      <c r="J14" s="78"/>
      <c r="K14" s="39" t="s">
        <v>106</v>
      </c>
      <c r="L14" s="34" t="s">
        <v>107</v>
      </c>
      <c r="M14" s="34" t="s">
        <v>108</v>
      </c>
      <c r="N14" s="34" t="s">
        <v>109</v>
      </c>
      <c r="O14" s="66" t="s">
        <v>110</v>
      </c>
      <c r="P14" s="67"/>
      <c r="Q14" s="35" t="s">
        <v>111</v>
      </c>
      <c r="R14" s="36" t="s">
        <v>112</v>
      </c>
      <c r="S14" s="28"/>
    </row>
    <row r="15" spans="1:19" ht="39.950000000000003" customHeight="1">
      <c r="A15" s="55" t="s">
        <v>113</v>
      </c>
      <c r="B15" s="56"/>
      <c r="C15" s="56"/>
      <c r="D15" s="56"/>
      <c r="E15" s="31" t="s">
        <v>18</v>
      </c>
      <c r="F15" s="77" t="s">
        <v>114</v>
      </c>
      <c r="G15" s="78"/>
      <c r="H15" s="77" t="s">
        <v>115</v>
      </c>
      <c r="I15" s="79"/>
      <c r="J15" s="78"/>
      <c r="K15" s="39" t="s">
        <v>116</v>
      </c>
      <c r="L15" s="34" t="s">
        <v>117</v>
      </c>
      <c r="M15" s="34" t="s">
        <v>118</v>
      </c>
      <c r="N15" s="34" t="s">
        <v>119</v>
      </c>
      <c r="O15" s="66" t="s">
        <v>120</v>
      </c>
      <c r="P15" s="67"/>
      <c r="Q15" s="35" t="s">
        <v>121</v>
      </c>
      <c r="R15" s="36" t="s">
        <v>122</v>
      </c>
      <c r="S15" s="28"/>
    </row>
    <row r="16" spans="1:19" ht="39" customHeight="1">
      <c r="A16" s="55" t="s">
        <v>123</v>
      </c>
      <c r="B16" s="56"/>
      <c r="C16" s="56"/>
      <c r="D16" s="56"/>
      <c r="E16" s="31" t="s">
        <v>18</v>
      </c>
      <c r="F16" s="77" t="s">
        <v>124</v>
      </c>
      <c r="G16" s="78"/>
      <c r="H16" s="77" t="s">
        <v>125</v>
      </c>
      <c r="I16" s="79"/>
      <c r="J16" s="78"/>
      <c r="K16" s="39" t="s">
        <v>126</v>
      </c>
      <c r="L16" s="34" t="s">
        <v>127</v>
      </c>
      <c r="M16" s="34" t="s">
        <v>128</v>
      </c>
      <c r="N16" s="34" t="s">
        <v>129</v>
      </c>
      <c r="O16" s="66" t="s">
        <v>130</v>
      </c>
      <c r="P16" s="67"/>
      <c r="Q16" s="35" t="s">
        <v>131</v>
      </c>
      <c r="R16" s="36" t="s">
        <v>132</v>
      </c>
      <c r="S16" s="28"/>
    </row>
    <row r="17" spans="1:19" ht="29.1" customHeight="1">
      <c r="A17" s="55" t="s">
        <v>133</v>
      </c>
      <c r="B17" s="56"/>
      <c r="C17" s="56"/>
      <c r="D17" s="56"/>
      <c r="E17" s="31" t="s">
        <v>18</v>
      </c>
      <c r="F17" s="63" t="s">
        <v>134</v>
      </c>
      <c r="G17" s="64"/>
      <c r="H17" s="63" t="s">
        <v>134</v>
      </c>
      <c r="I17" s="65"/>
      <c r="J17" s="64"/>
      <c r="K17" s="37" t="s">
        <v>134</v>
      </c>
      <c r="L17" s="34" t="s">
        <v>135</v>
      </c>
      <c r="M17" s="34" t="s">
        <v>136</v>
      </c>
      <c r="N17" s="34" t="s">
        <v>137</v>
      </c>
      <c r="O17" s="66" t="s">
        <v>138</v>
      </c>
      <c r="P17" s="67"/>
      <c r="Q17" s="35" t="s">
        <v>139</v>
      </c>
      <c r="R17" s="36" t="s">
        <v>140</v>
      </c>
      <c r="S17" s="28"/>
    </row>
    <row r="18" spans="1:19" ht="27" customHeight="1">
      <c r="A18" s="55" t="s">
        <v>141</v>
      </c>
      <c r="B18" s="56"/>
      <c r="C18" s="56"/>
      <c r="D18" s="56"/>
      <c r="E18" s="31" t="s">
        <v>18</v>
      </c>
      <c r="F18" s="77" t="s">
        <v>142</v>
      </c>
      <c r="G18" s="78"/>
      <c r="H18" s="77" t="s">
        <v>143</v>
      </c>
      <c r="I18" s="79"/>
      <c r="J18" s="78"/>
      <c r="K18" s="40" t="s">
        <v>144</v>
      </c>
      <c r="L18" s="34" t="s">
        <v>145</v>
      </c>
      <c r="M18" s="34" t="s">
        <v>146</v>
      </c>
      <c r="N18" s="34" t="s">
        <v>147</v>
      </c>
      <c r="O18" s="66" t="s">
        <v>148</v>
      </c>
      <c r="P18" s="67"/>
      <c r="Q18" s="35" t="s">
        <v>149</v>
      </c>
      <c r="R18" s="36" t="s">
        <v>150</v>
      </c>
      <c r="S18" s="28"/>
    </row>
    <row r="19" spans="1:19" ht="39.950000000000003" customHeight="1">
      <c r="A19" s="55" t="s">
        <v>151</v>
      </c>
      <c r="B19" s="56"/>
      <c r="C19" s="56"/>
      <c r="D19" s="56"/>
      <c r="E19" s="31" t="s">
        <v>18</v>
      </c>
      <c r="F19" s="63" t="s">
        <v>152</v>
      </c>
      <c r="G19" s="64"/>
      <c r="H19" s="63" t="s">
        <v>152</v>
      </c>
      <c r="I19" s="64"/>
      <c r="J19" s="63" t="s">
        <v>152</v>
      </c>
      <c r="K19" s="64"/>
      <c r="L19" s="34" t="s">
        <v>153</v>
      </c>
      <c r="M19" s="34" t="s">
        <v>154</v>
      </c>
      <c r="N19" s="34" t="s">
        <v>155</v>
      </c>
      <c r="O19" s="66" t="s">
        <v>156</v>
      </c>
      <c r="P19" s="67"/>
      <c r="Q19" s="35" t="s">
        <v>157</v>
      </c>
      <c r="R19" s="36" t="s">
        <v>158</v>
      </c>
      <c r="S19" s="28"/>
    </row>
    <row r="20" spans="1:19" ht="28.5">
      <c r="A20" s="55" t="s">
        <v>159</v>
      </c>
      <c r="B20" s="56"/>
      <c r="C20" s="56"/>
      <c r="D20" s="56"/>
      <c r="E20" s="31" t="s">
        <v>18</v>
      </c>
      <c r="F20" s="77" t="s">
        <v>160</v>
      </c>
      <c r="G20" s="78"/>
      <c r="H20" s="77" t="s">
        <v>161</v>
      </c>
      <c r="I20" s="79"/>
      <c r="J20" s="78"/>
      <c r="K20" s="38" t="s">
        <v>162</v>
      </c>
      <c r="L20" s="34" t="s">
        <v>163</v>
      </c>
      <c r="M20" s="34" t="s">
        <v>164</v>
      </c>
      <c r="N20" s="34" t="s">
        <v>165</v>
      </c>
      <c r="O20" s="66" t="s">
        <v>166</v>
      </c>
      <c r="P20" s="67"/>
      <c r="Q20" s="35" t="s">
        <v>167</v>
      </c>
      <c r="R20" s="36" t="s">
        <v>168</v>
      </c>
      <c r="S20" s="28"/>
    </row>
    <row r="21" spans="1:19" ht="36.950000000000003" customHeight="1">
      <c r="A21" s="71" t="s">
        <v>169</v>
      </c>
      <c r="B21" s="72"/>
      <c r="C21" s="72"/>
      <c r="D21" s="73"/>
      <c r="E21" s="31" t="s">
        <v>18</v>
      </c>
      <c r="F21" s="63" t="s">
        <v>170</v>
      </c>
      <c r="G21" s="64"/>
      <c r="H21" s="63" t="s">
        <v>170</v>
      </c>
      <c r="I21" s="65"/>
      <c r="J21" s="64"/>
      <c r="K21" s="41" t="s">
        <v>170</v>
      </c>
      <c r="L21" s="34" t="s">
        <v>171</v>
      </c>
      <c r="M21" s="34" t="s">
        <v>172</v>
      </c>
      <c r="N21" s="34" t="s">
        <v>173</v>
      </c>
      <c r="O21" s="66" t="s">
        <v>174</v>
      </c>
      <c r="P21" s="67"/>
      <c r="Q21" s="35" t="s">
        <v>175</v>
      </c>
      <c r="R21" s="36" t="s">
        <v>176</v>
      </c>
      <c r="S21" s="28"/>
    </row>
    <row r="22" spans="1:19" ht="33.950000000000003" customHeight="1">
      <c r="A22" s="55" t="s">
        <v>177</v>
      </c>
      <c r="B22" s="56"/>
      <c r="C22" s="56"/>
      <c r="D22" s="56"/>
      <c r="E22" s="31" t="s">
        <v>178</v>
      </c>
      <c r="F22" s="80" t="s">
        <v>179</v>
      </c>
      <c r="G22" s="81"/>
      <c r="H22" s="82" t="s">
        <v>180</v>
      </c>
      <c r="I22" s="83"/>
      <c r="J22" s="84"/>
      <c r="K22" s="42" t="s">
        <v>181</v>
      </c>
      <c r="L22" s="34" t="s">
        <v>182</v>
      </c>
      <c r="M22" s="34" t="s">
        <v>183</v>
      </c>
      <c r="N22" s="34" t="s">
        <v>184</v>
      </c>
      <c r="O22" s="66" t="s">
        <v>185</v>
      </c>
      <c r="P22" s="67"/>
      <c r="Q22" s="35" t="s">
        <v>186</v>
      </c>
      <c r="R22" s="36" t="s">
        <v>187</v>
      </c>
      <c r="S22" s="28"/>
    </row>
    <row r="23" spans="1:19" ht="28.5">
      <c r="A23" s="55" t="s">
        <v>188</v>
      </c>
      <c r="B23" s="56"/>
      <c r="C23" s="56"/>
      <c r="D23" s="56"/>
      <c r="E23" s="31" t="s">
        <v>178</v>
      </c>
      <c r="F23" s="85" t="s">
        <v>189</v>
      </c>
      <c r="G23" s="86"/>
      <c r="H23" s="87" t="s">
        <v>190</v>
      </c>
      <c r="I23" s="88"/>
      <c r="J23" s="89"/>
      <c r="K23" s="42" t="s">
        <v>191</v>
      </c>
      <c r="L23" s="34" t="s">
        <v>192</v>
      </c>
      <c r="M23" s="34" t="s">
        <v>193</v>
      </c>
      <c r="N23" s="34" t="s">
        <v>194</v>
      </c>
      <c r="O23" s="90" t="s">
        <v>195</v>
      </c>
      <c r="P23" s="91"/>
      <c r="Q23" s="43" t="s">
        <v>196</v>
      </c>
      <c r="R23" s="36" t="s">
        <v>197</v>
      </c>
      <c r="S23" s="28"/>
    </row>
    <row r="24" spans="1:19" ht="16.5">
      <c r="A24" s="30" t="s">
        <v>5</v>
      </c>
      <c r="B24" s="31" t="s">
        <v>198</v>
      </c>
      <c r="C24" s="31" t="s">
        <v>199</v>
      </c>
      <c r="D24" s="30" t="s">
        <v>200</v>
      </c>
      <c r="E24" s="31" t="s">
        <v>201</v>
      </c>
      <c r="F24" s="31" t="s">
        <v>202</v>
      </c>
      <c r="G24" s="30" t="s">
        <v>203</v>
      </c>
      <c r="H24" s="31" t="s">
        <v>204</v>
      </c>
      <c r="I24" s="56" t="s">
        <v>5</v>
      </c>
      <c r="J24" s="56"/>
      <c r="K24" s="31" t="s">
        <v>6</v>
      </c>
      <c r="L24" s="44" t="s">
        <v>205</v>
      </c>
      <c r="M24" s="44" t="s">
        <v>206</v>
      </c>
      <c r="N24" s="44" t="s">
        <v>207</v>
      </c>
      <c r="O24" s="44" t="s">
        <v>208</v>
      </c>
      <c r="P24" s="45" t="s">
        <v>209</v>
      </c>
      <c r="Q24" s="45" t="s">
        <v>210</v>
      </c>
      <c r="R24" s="45" t="s">
        <v>211</v>
      </c>
      <c r="S24" s="28"/>
    </row>
    <row r="25" spans="1:19" ht="42.75">
      <c r="A25" s="55" t="s">
        <v>212</v>
      </c>
      <c r="B25" s="46" t="s">
        <v>213</v>
      </c>
      <c r="C25" s="46" t="s">
        <v>214</v>
      </c>
      <c r="D25" s="46" t="s">
        <v>215</v>
      </c>
      <c r="E25" s="46" t="s">
        <v>216</v>
      </c>
      <c r="F25" s="46" t="s">
        <v>217</v>
      </c>
      <c r="G25" s="46" t="s">
        <v>218</v>
      </c>
      <c r="H25" s="46" t="s">
        <v>219</v>
      </c>
      <c r="I25" s="56" t="s">
        <v>220</v>
      </c>
      <c r="J25" s="56"/>
      <c r="K25" s="31" t="s">
        <v>221</v>
      </c>
      <c r="L25" s="47" t="s">
        <v>222</v>
      </c>
      <c r="M25" s="47" t="s">
        <v>222</v>
      </c>
      <c r="N25" s="47" t="s">
        <v>222</v>
      </c>
      <c r="O25" s="16" t="s">
        <v>223</v>
      </c>
      <c r="P25" s="48" t="s">
        <v>224</v>
      </c>
      <c r="Q25" s="48" t="s">
        <v>225</v>
      </c>
      <c r="R25" s="48" t="s">
        <v>226</v>
      </c>
      <c r="S25" s="28"/>
    </row>
    <row r="26" spans="1:19" ht="42.75">
      <c r="A26" s="55"/>
      <c r="B26" s="46" t="s">
        <v>213</v>
      </c>
      <c r="C26" s="46" t="s">
        <v>214</v>
      </c>
      <c r="D26" s="46" t="s">
        <v>215</v>
      </c>
      <c r="E26" s="46" t="s">
        <v>216</v>
      </c>
      <c r="F26" s="46" t="s">
        <v>217</v>
      </c>
      <c r="G26" s="46" t="s">
        <v>218</v>
      </c>
      <c r="H26" s="46" t="s">
        <v>219</v>
      </c>
      <c r="I26" s="56" t="s">
        <v>227</v>
      </c>
      <c r="J26" s="56"/>
      <c r="K26" s="31" t="s">
        <v>221</v>
      </c>
      <c r="L26" s="47" t="s">
        <v>222</v>
      </c>
      <c r="M26" s="47" t="s">
        <v>222</v>
      </c>
      <c r="N26" s="47" t="s">
        <v>222</v>
      </c>
      <c r="O26" s="16" t="s">
        <v>228</v>
      </c>
      <c r="P26" s="48" t="s">
        <v>224</v>
      </c>
      <c r="Q26" s="48" t="s">
        <v>225</v>
      </c>
      <c r="R26" s="48" t="s">
        <v>226</v>
      </c>
      <c r="S26" s="28"/>
    </row>
    <row r="27" spans="1:19" ht="42.75">
      <c r="A27" s="55"/>
      <c r="B27" s="46" t="s">
        <v>213</v>
      </c>
      <c r="C27" s="46" t="s">
        <v>214</v>
      </c>
      <c r="D27" s="46" t="s">
        <v>215</v>
      </c>
      <c r="E27" s="46" t="s">
        <v>216</v>
      </c>
      <c r="F27" s="46" t="s">
        <v>217</v>
      </c>
      <c r="G27" s="46" t="s">
        <v>218</v>
      </c>
      <c r="H27" s="46" t="s">
        <v>219</v>
      </c>
      <c r="I27" s="56" t="s">
        <v>229</v>
      </c>
      <c r="J27" s="56"/>
      <c r="K27" s="31" t="s">
        <v>221</v>
      </c>
      <c r="L27" s="47" t="s">
        <v>222</v>
      </c>
      <c r="M27" s="47" t="s">
        <v>222</v>
      </c>
      <c r="N27" s="47" t="s">
        <v>222</v>
      </c>
      <c r="O27" s="16" t="s">
        <v>230</v>
      </c>
      <c r="P27" s="48" t="s">
        <v>224</v>
      </c>
      <c r="Q27" s="48" t="s">
        <v>225</v>
      </c>
      <c r="R27" s="48" t="s">
        <v>226</v>
      </c>
      <c r="S27" s="28"/>
    </row>
    <row r="28" spans="1:19" ht="42.75">
      <c r="A28" s="55"/>
      <c r="B28" s="46" t="s">
        <v>213</v>
      </c>
      <c r="C28" s="46" t="s">
        <v>214</v>
      </c>
      <c r="D28" s="46" t="s">
        <v>215</v>
      </c>
      <c r="E28" s="46" t="s">
        <v>216</v>
      </c>
      <c r="F28" s="46" t="s">
        <v>217</v>
      </c>
      <c r="G28" s="46" t="s">
        <v>218</v>
      </c>
      <c r="H28" s="46" t="s">
        <v>219</v>
      </c>
      <c r="I28" s="55" t="s">
        <v>231</v>
      </c>
      <c r="J28" s="55"/>
      <c r="K28" s="31" t="s">
        <v>221</v>
      </c>
      <c r="L28" s="47" t="s">
        <v>222</v>
      </c>
      <c r="M28" s="47" t="s">
        <v>222</v>
      </c>
      <c r="N28" s="47" t="s">
        <v>222</v>
      </c>
      <c r="O28" s="16" t="s">
        <v>232</v>
      </c>
      <c r="P28" s="48" t="s">
        <v>224</v>
      </c>
      <c r="Q28" s="48" t="s">
        <v>225</v>
      </c>
      <c r="R28" s="48" t="s">
        <v>226</v>
      </c>
      <c r="S28" s="28"/>
    </row>
    <row r="29" spans="1:19" ht="42.75">
      <c r="A29" s="55"/>
      <c r="B29" s="46" t="s">
        <v>213</v>
      </c>
      <c r="C29" s="46" t="s">
        <v>214</v>
      </c>
      <c r="D29" s="46" t="s">
        <v>215</v>
      </c>
      <c r="E29" s="46" t="s">
        <v>216</v>
      </c>
      <c r="F29" s="46" t="s">
        <v>217</v>
      </c>
      <c r="G29" s="46" t="s">
        <v>218</v>
      </c>
      <c r="H29" s="46" t="s">
        <v>219</v>
      </c>
      <c r="I29" s="55" t="s">
        <v>233</v>
      </c>
      <c r="J29" s="55"/>
      <c r="K29" s="31" t="s">
        <v>221</v>
      </c>
      <c r="L29" s="47" t="s">
        <v>222</v>
      </c>
      <c r="M29" s="47" t="s">
        <v>222</v>
      </c>
      <c r="N29" s="47" t="s">
        <v>222</v>
      </c>
      <c r="O29" s="16" t="s">
        <v>234</v>
      </c>
      <c r="P29" s="48" t="s">
        <v>224</v>
      </c>
      <c r="Q29" s="48" t="s">
        <v>225</v>
      </c>
      <c r="R29" s="48" t="s">
        <v>226</v>
      </c>
      <c r="S29" s="28"/>
    </row>
    <row r="30" spans="1:19" ht="42.75">
      <c r="A30" s="55"/>
      <c r="B30" s="46" t="s">
        <v>213</v>
      </c>
      <c r="C30" s="46" t="s">
        <v>214</v>
      </c>
      <c r="D30" s="46" t="s">
        <v>215</v>
      </c>
      <c r="E30" s="46" t="s">
        <v>216</v>
      </c>
      <c r="F30" s="46" t="s">
        <v>217</v>
      </c>
      <c r="G30" s="46" t="s">
        <v>218</v>
      </c>
      <c r="H30" s="46" t="s">
        <v>219</v>
      </c>
      <c r="I30" s="55" t="s">
        <v>235</v>
      </c>
      <c r="J30" s="55"/>
      <c r="K30" s="31" t="s">
        <v>221</v>
      </c>
      <c r="L30" s="47" t="s">
        <v>222</v>
      </c>
      <c r="M30" s="47" t="s">
        <v>222</v>
      </c>
      <c r="N30" s="47" t="s">
        <v>222</v>
      </c>
      <c r="O30" s="16" t="s">
        <v>236</v>
      </c>
      <c r="P30" s="48" t="s">
        <v>224</v>
      </c>
      <c r="Q30" s="48" t="s">
        <v>225</v>
      </c>
      <c r="R30" s="48" t="s">
        <v>226</v>
      </c>
      <c r="S30" s="28"/>
    </row>
    <row r="31" spans="1:19" ht="42.75">
      <c r="A31" s="55"/>
      <c r="B31" s="46" t="s">
        <v>213</v>
      </c>
      <c r="C31" s="46" t="s">
        <v>214</v>
      </c>
      <c r="D31" s="46" t="s">
        <v>215</v>
      </c>
      <c r="E31" s="46" t="s">
        <v>216</v>
      </c>
      <c r="F31" s="46" t="s">
        <v>217</v>
      </c>
      <c r="G31" s="46" t="s">
        <v>218</v>
      </c>
      <c r="H31" s="46" t="s">
        <v>219</v>
      </c>
      <c r="I31" s="55" t="s">
        <v>237</v>
      </c>
      <c r="J31" s="55"/>
      <c r="K31" s="31"/>
      <c r="L31" s="47" t="s">
        <v>222</v>
      </c>
      <c r="M31" s="47" t="s">
        <v>222</v>
      </c>
      <c r="N31" s="47" t="s">
        <v>222</v>
      </c>
      <c r="O31" s="16" t="s">
        <v>238</v>
      </c>
      <c r="P31" s="48" t="s">
        <v>224</v>
      </c>
      <c r="Q31" s="48" t="s">
        <v>225</v>
      </c>
      <c r="R31" s="48" t="s">
        <v>226</v>
      </c>
      <c r="S31" s="28"/>
    </row>
    <row r="32" spans="1:19" ht="42.75">
      <c r="A32" s="55"/>
      <c r="B32" s="46" t="s">
        <v>213</v>
      </c>
      <c r="C32" s="46" t="s">
        <v>214</v>
      </c>
      <c r="D32" s="46" t="s">
        <v>215</v>
      </c>
      <c r="E32" s="46" t="s">
        <v>216</v>
      </c>
      <c r="F32" s="46" t="s">
        <v>217</v>
      </c>
      <c r="G32" s="46" t="s">
        <v>218</v>
      </c>
      <c r="H32" s="46" t="s">
        <v>219</v>
      </c>
      <c r="I32" s="56" t="s">
        <v>239</v>
      </c>
      <c r="J32" s="56"/>
      <c r="K32" s="31" t="s">
        <v>221</v>
      </c>
      <c r="L32" s="47" t="s">
        <v>222</v>
      </c>
      <c r="M32" s="47" t="s">
        <v>222</v>
      </c>
      <c r="N32" s="47" t="s">
        <v>222</v>
      </c>
      <c r="O32" s="16" t="s">
        <v>240</v>
      </c>
      <c r="P32" s="48" t="s">
        <v>224</v>
      </c>
      <c r="Q32" s="48" t="s">
        <v>225</v>
      </c>
      <c r="R32" s="48" t="s">
        <v>226</v>
      </c>
      <c r="S32" s="28"/>
    </row>
    <row r="33" spans="1:19" ht="42.75">
      <c r="A33" s="55"/>
      <c r="B33" s="46" t="s">
        <v>213</v>
      </c>
      <c r="C33" s="46" t="s">
        <v>214</v>
      </c>
      <c r="D33" s="46" t="s">
        <v>215</v>
      </c>
      <c r="E33" s="46" t="s">
        <v>216</v>
      </c>
      <c r="F33" s="46" t="s">
        <v>217</v>
      </c>
      <c r="G33" s="46" t="s">
        <v>218</v>
      </c>
      <c r="H33" s="46" t="s">
        <v>219</v>
      </c>
      <c r="I33" s="56" t="s">
        <v>241</v>
      </c>
      <c r="J33" s="56"/>
      <c r="K33" s="31" t="s">
        <v>221</v>
      </c>
      <c r="L33" s="47" t="s">
        <v>222</v>
      </c>
      <c r="M33" s="47" t="s">
        <v>222</v>
      </c>
      <c r="N33" s="47" t="s">
        <v>222</v>
      </c>
      <c r="O33" s="16" t="s">
        <v>242</v>
      </c>
      <c r="P33" s="48" t="s">
        <v>224</v>
      </c>
      <c r="Q33" s="48" t="s">
        <v>225</v>
      </c>
      <c r="R33" s="48" t="s">
        <v>226</v>
      </c>
      <c r="S33" s="28"/>
    </row>
    <row r="34" spans="1:19" ht="42.75">
      <c r="A34" s="55"/>
      <c r="B34" s="46" t="s">
        <v>213</v>
      </c>
      <c r="C34" s="46" t="s">
        <v>214</v>
      </c>
      <c r="D34" s="46" t="s">
        <v>215</v>
      </c>
      <c r="E34" s="46" t="s">
        <v>216</v>
      </c>
      <c r="F34" s="46" t="s">
        <v>217</v>
      </c>
      <c r="G34" s="46" t="s">
        <v>218</v>
      </c>
      <c r="H34" s="46" t="s">
        <v>219</v>
      </c>
      <c r="I34" s="56" t="s">
        <v>243</v>
      </c>
      <c r="J34" s="56"/>
      <c r="K34" s="31" t="s">
        <v>221</v>
      </c>
      <c r="L34" s="47" t="s">
        <v>222</v>
      </c>
      <c r="M34" s="47" t="s">
        <v>222</v>
      </c>
      <c r="N34" s="47" t="s">
        <v>222</v>
      </c>
      <c r="O34" s="16" t="s">
        <v>244</v>
      </c>
      <c r="P34" s="48" t="s">
        <v>224</v>
      </c>
      <c r="Q34" s="48" t="s">
        <v>225</v>
      </c>
      <c r="R34" s="48" t="s">
        <v>226</v>
      </c>
      <c r="S34" s="28"/>
    </row>
    <row r="35" spans="1:19" ht="42.75">
      <c r="A35" s="55"/>
      <c r="B35" s="46" t="s">
        <v>213</v>
      </c>
      <c r="C35" s="46" t="s">
        <v>214</v>
      </c>
      <c r="D35" s="46" t="s">
        <v>215</v>
      </c>
      <c r="E35" s="46" t="s">
        <v>216</v>
      </c>
      <c r="F35" s="46" t="s">
        <v>217</v>
      </c>
      <c r="G35" s="46" t="s">
        <v>218</v>
      </c>
      <c r="H35" s="46" t="s">
        <v>219</v>
      </c>
      <c r="I35" s="56" t="s">
        <v>245</v>
      </c>
      <c r="J35" s="56"/>
      <c r="K35" s="31" t="s">
        <v>221</v>
      </c>
      <c r="L35" s="47" t="s">
        <v>222</v>
      </c>
      <c r="M35" s="47" t="s">
        <v>222</v>
      </c>
      <c r="N35" s="47" t="s">
        <v>222</v>
      </c>
      <c r="O35" s="16" t="s">
        <v>246</v>
      </c>
      <c r="P35" s="48" t="s">
        <v>224</v>
      </c>
      <c r="Q35" s="48" t="s">
        <v>225</v>
      </c>
      <c r="R35" s="48" t="s">
        <v>226</v>
      </c>
      <c r="S35" s="28"/>
    </row>
    <row r="36" spans="1:19" ht="42.75">
      <c r="A36" s="55"/>
      <c r="B36" s="46" t="s">
        <v>213</v>
      </c>
      <c r="C36" s="46" t="s">
        <v>214</v>
      </c>
      <c r="D36" s="46" t="s">
        <v>215</v>
      </c>
      <c r="E36" s="46" t="s">
        <v>216</v>
      </c>
      <c r="F36" s="46" t="s">
        <v>217</v>
      </c>
      <c r="G36" s="46" t="s">
        <v>218</v>
      </c>
      <c r="H36" s="46" t="s">
        <v>219</v>
      </c>
      <c r="I36" s="56" t="s">
        <v>247</v>
      </c>
      <c r="J36" s="56"/>
      <c r="K36" s="31" t="s">
        <v>221</v>
      </c>
      <c r="L36" s="47" t="s">
        <v>222</v>
      </c>
      <c r="M36" s="47" t="s">
        <v>222</v>
      </c>
      <c r="N36" s="47" t="s">
        <v>222</v>
      </c>
      <c r="O36" s="16" t="s">
        <v>248</v>
      </c>
      <c r="P36" s="48" t="s">
        <v>224</v>
      </c>
      <c r="Q36" s="48" t="s">
        <v>225</v>
      </c>
      <c r="R36" s="48" t="s">
        <v>226</v>
      </c>
      <c r="S36" s="28"/>
    </row>
    <row r="37" spans="1:19" ht="42.75">
      <c r="A37" s="55"/>
      <c r="B37" s="46" t="s">
        <v>213</v>
      </c>
      <c r="C37" s="46" t="s">
        <v>214</v>
      </c>
      <c r="D37" s="46" t="s">
        <v>215</v>
      </c>
      <c r="E37" s="46" t="s">
        <v>216</v>
      </c>
      <c r="F37" s="46" t="s">
        <v>217</v>
      </c>
      <c r="G37" s="46" t="s">
        <v>218</v>
      </c>
      <c r="H37" s="46" t="s">
        <v>219</v>
      </c>
      <c r="I37" s="56" t="s">
        <v>249</v>
      </c>
      <c r="J37" s="56"/>
      <c r="K37" s="31" t="s">
        <v>221</v>
      </c>
      <c r="L37" s="47" t="s">
        <v>222</v>
      </c>
      <c r="M37" s="47" t="s">
        <v>222</v>
      </c>
      <c r="N37" s="47" t="s">
        <v>222</v>
      </c>
      <c r="O37" s="16" t="s">
        <v>250</v>
      </c>
      <c r="P37" s="48" t="s">
        <v>224</v>
      </c>
      <c r="Q37" s="48" t="s">
        <v>225</v>
      </c>
      <c r="R37" s="48" t="s">
        <v>226</v>
      </c>
      <c r="S37" s="28"/>
    </row>
    <row r="38" spans="1:19" ht="42.75">
      <c r="A38" s="55"/>
      <c r="B38" s="46" t="s">
        <v>213</v>
      </c>
      <c r="C38" s="46" t="s">
        <v>214</v>
      </c>
      <c r="D38" s="46" t="s">
        <v>215</v>
      </c>
      <c r="E38" s="46" t="s">
        <v>216</v>
      </c>
      <c r="F38" s="46" t="s">
        <v>217</v>
      </c>
      <c r="G38" s="46" t="s">
        <v>218</v>
      </c>
      <c r="H38" s="46" t="s">
        <v>219</v>
      </c>
      <c r="I38" s="56" t="s">
        <v>251</v>
      </c>
      <c r="J38" s="56"/>
      <c r="K38" s="31" t="s">
        <v>221</v>
      </c>
      <c r="L38" s="47" t="s">
        <v>222</v>
      </c>
      <c r="M38" s="47" t="s">
        <v>222</v>
      </c>
      <c r="N38" s="47" t="s">
        <v>222</v>
      </c>
      <c r="O38" s="16" t="s">
        <v>252</v>
      </c>
      <c r="P38" s="48" t="s">
        <v>224</v>
      </c>
      <c r="Q38" s="48" t="s">
        <v>225</v>
      </c>
      <c r="R38" s="48" t="s">
        <v>226</v>
      </c>
      <c r="S38" s="28"/>
    </row>
    <row r="39" spans="1:19" ht="42.75">
      <c r="A39" s="55"/>
      <c r="B39" s="46" t="s">
        <v>213</v>
      </c>
      <c r="C39" s="46" t="s">
        <v>214</v>
      </c>
      <c r="D39" s="46" t="s">
        <v>215</v>
      </c>
      <c r="E39" s="46" t="s">
        <v>216</v>
      </c>
      <c r="F39" s="46" t="s">
        <v>217</v>
      </c>
      <c r="G39" s="46" t="s">
        <v>218</v>
      </c>
      <c r="H39" s="46" t="s">
        <v>219</v>
      </c>
      <c r="I39" s="56" t="s">
        <v>253</v>
      </c>
      <c r="J39" s="56"/>
      <c r="K39" s="31" t="s">
        <v>221</v>
      </c>
      <c r="L39" s="47" t="s">
        <v>222</v>
      </c>
      <c r="M39" s="47" t="s">
        <v>222</v>
      </c>
      <c r="N39" s="47" t="s">
        <v>222</v>
      </c>
      <c r="O39" s="16" t="s">
        <v>254</v>
      </c>
      <c r="P39" s="48" t="s">
        <v>224</v>
      </c>
      <c r="Q39" s="48" t="s">
        <v>225</v>
      </c>
      <c r="R39" s="48" t="s">
        <v>226</v>
      </c>
      <c r="S39" s="28"/>
    </row>
    <row r="40" spans="1:19" ht="42.75">
      <c r="A40" s="55"/>
      <c r="B40" s="46" t="s">
        <v>213</v>
      </c>
      <c r="C40" s="46" t="s">
        <v>214</v>
      </c>
      <c r="D40" s="46" t="s">
        <v>215</v>
      </c>
      <c r="E40" s="46" t="s">
        <v>216</v>
      </c>
      <c r="F40" s="46" t="s">
        <v>217</v>
      </c>
      <c r="G40" s="46" t="s">
        <v>218</v>
      </c>
      <c r="H40" s="46" t="s">
        <v>219</v>
      </c>
      <c r="I40" s="92" t="s">
        <v>255</v>
      </c>
      <c r="J40" s="92"/>
      <c r="K40" s="49" t="s">
        <v>221</v>
      </c>
      <c r="L40" s="50" t="s">
        <v>222</v>
      </c>
      <c r="M40" s="50" t="s">
        <v>222</v>
      </c>
      <c r="N40" s="50" t="s">
        <v>222</v>
      </c>
      <c r="O40" s="51" t="s">
        <v>256</v>
      </c>
      <c r="P40" s="48" t="s">
        <v>224</v>
      </c>
      <c r="Q40" s="48" t="s">
        <v>225</v>
      </c>
      <c r="R40" s="48" t="s">
        <v>226</v>
      </c>
      <c r="S40" s="28"/>
    </row>
    <row r="41" spans="1:19" ht="42.75">
      <c r="A41" s="55"/>
      <c r="B41" s="46" t="s">
        <v>213</v>
      </c>
      <c r="C41" s="46" t="s">
        <v>214</v>
      </c>
      <c r="D41" s="46" t="s">
        <v>215</v>
      </c>
      <c r="E41" s="46" t="s">
        <v>216</v>
      </c>
      <c r="F41" s="46" t="s">
        <v>217</v>
      </c>
      <c r="G41" s="46" t="s">
        <v>218</v>
      </c>
      <c r="H41" s="46" t="s">
        <v>219</v>
      </c>
      <c r="I41" s="100"/>
      <c r="J41" s="100"/>
      <c r="K41" s="100"/>
      <c r="L41" s="100"/>
      <c r="M41" s="100"/>
      <c r="N41" s="100"/>
      <c r="O41" s="100"/>
      <c r="P41" s="100"/>
      <c r="Q41" s="100"/>
      <c r="R41" s="100"/>
      <c r="S41" s="28"/>
    </row>
    <row r="42" spans="1:19" ht="42.75">
      <c r="A42" s="55"/>
      <c r="B42" s="46" t="s">
        <v>213</v>
      </c>
      <c r="C42" s="46" t="s">
        <v>214</v>
      </c>
      <c r="D42" s="46" t="s">
        <v>215</v>
      </c>
      <c r="E42" s="46" t="s">
        <v>216</v>
      </c>
      <c r="F42" s="46" t="s">
        <v>217</v>
      </c>
      <c r="G42" s="46" t="s">
        <v>218</v>
      </c>
      <c r="H42" s="46" t="s">
        <v>219</v>
      </c>
      <c r="I42" s="100"/>
      <c r="J42" s="100"/>
      <c r="K42" s="100"/>
      <c r="L42" s="100"/>
      <c r="M42" s="100"/>
      <c r="N42" s="100"/>
      <c r="O42" s="100"/>
      <c r="P42" s="100"/>
      <c r="Q42" s="100"/>
      <c r="R42" s="100"/>
      <c r="S42" s="28"/>
    </row>
    <row r="43" spans="1:19" ht="42.75">
      <c r="A43" s="55"/>
      <c r="B43" s="46" t="s">
        <v>213</v>
      </c>
      <c r="C43" s="46" t="s">
        <v>214</v>
      </c>
      <c r="D43" s="46" t="s">
        <v>215</v>
      </c>
      <c r="E43" s="46" t="s">
        <v>216</v>
      </c>
      <c r="F43" s="46" t="s">
        <v>217</v>
      </c>
      <c r="G43" s="46" t="s">
        <v>218</v>
      </c>
      <c r="H43" s="46" t="s">
        <v>219</v>
      </c>
      <c r="I43" s="100"/>
      <c r="J43" s="100"/>
      <c r="K43" s="100"/>
      <c r="L43" s="100"/>
      <c r="M43" s="100"/>
      <c r="N43" s="100"/>
      <c r="O43" s="100"/>
      <c r="P43" s="100"/>
      <c r="Q43" s="100"/>
      <c r="R43" s="100"/>
      <c r="S43" s="28"/>
    </row>
    <row r="44" spans="1:19" ht="42.75">
      <c r="A44" s="55"/>
      <c r="B44" s="46" t="s">
        <v>213</v>
      </c>
      <c r="C44" s="46" t="s">
        <v>214</v>
      </c>
      <c r="D44" s="46" t="s">
        <v>215</v>
      </c>
      <c r="E44" s="46" t="s">
        <v>216</v>
      </c>
      <c r="F44" s="46" t="s">
        <v>217</v>
      </c>
      <c r="G44" s="46" t="s">
        <v>218</v>
      </c>
      <c r="H44" s="46" t="s">
        <v>219</v>
      </c>
      <c r="I44" s="100"/>
      <c r="J44" s="100"/>
      <c r="K44" s="100"/>
      <c r="L44" s="100"/>
      <c r="M44" s="100"/>
      <c r="N44" s="100"/>
      <c r="O44" s="100"/>
      <c r="P44" s="100"/>
      <c r="Q44" s="100"/>
      <c r="R44" s="100"/>
      <c r="S44" s="28"/>
    </row>
    <row r="45" spans="1:19" ht="42.75">
      <c r="A45" s="55"/>
      <c r="B45" s="46" t="s">
        <v>213</v>
      </c>
      <c r="C45" s="46" t="s">
        <v>214</v>
      </c>
      <c r="D45" s="46" t="s">
        <v>215</v>
      </c>
      <c r="E45" s="46" t="s">
        <v>216</v>
      </c>
      <c r="F45" s="46" t="s">
        <v>217</v>
      </c>
      <c r="G45" s="46" t="s">
        <v>218</v>
      </c>
      <c r="H45" s="46" t="s">
        <v>219</v>
      </c>
      <c r="I45" s="100"/>
      <c r="J45" s="100"/>
      <c r="K45" s="100"/>
      <c r="L45" s="100"/>
      <c r="M45" s="100"/>
      <c r="N45" s="100"/>
      <c r="O45" s="100"/>
      <c r="P45" s="100"/>
      <c r="Q45" s="100"/>
      <c r="R45" s="100"/>
      <c r="S45" s="28"/>
    </row>
    <row r="46" spans="1:19" ht="42.75">
      <c r="A46" s="55"/>
      <c r="B46" s="46" t="s">
        <v>213</v>
      </c>
      <c r="C46" s="46" t="s">
        <v>214</v>
      </c>
      <c r="D46" s="46" t="s">
        <v>215</v>
      </c>
      <c r="E46" s="46" t="s">
        <v>216</v>
      </c>
      <c r="F46" s="46" t="s">
        <v>217</v>
      </c>
      <c r="G46" s="46" t="s">
        <v>218</v>
      </c>
      <c r="H46" s="46" t="s">
        <v>219</v>
      </c>
      <c r="I46" s="100"/>
      <c r="J46" s="100"/>
      <c r="K46" s="100"/>
      <c r="L46" s="100"/>
      <c r="M46" s="100"/>
      <c r="N46" s="100"/>
      <c r="O46" s="100"/>
      <c r="P46" s="100"/>
      <c r="Q46" s="100"/>
      <c r="R46" s="100"/>
      <c r="S46" s="28"/>
    </row>
    <row r="47" spans="1:19" ht="42.75">
      <c r="A47" s="55"/>
      <c r="B47" s="46" t="s">
        <v>213</v>
      </c>
      <c r="C47" s="46" t="s">
        <v>214</v>
      </c>
      <c r="D47" s="46" t="s">
        <v>215</v>
      </c>
      <c r="E47" s="46" t="s">
        <v>216</v>
      </c>
      <c r="F47" s="46" t="s">
        <v>217</v>
      </c>
      <c r="G47" s="46" t="s">
        <v>218</v>
      </c>
      <c r="H47" s="46" t="s">
        <v>219</v>
      </c>
      <c r="I47" s="100"/>
      <c r="J47" s="100"/>
      <c r="K47" s="100"/>
      <c r="L47" s="100"/>
      <c r="M47" s="100"/>
      <c r="N47" s="100"/>
      <c r="O47" s="100"/>
      <c r="P47" s="100"/>
      <c r="Q47" s="100"/>
      <c r="R47" s="100"/>
      <c r="S47" s="28"/>
    </row>
    <row r="48" spans="1:19" ht="42.75">
      <c r="A48" s="55"/>
      <c r="B48" s="46" t="s">
        <v>213</v>
      </c>
      <c r="C48" s="46" t="s">
        <v>214</v>
      </c>
      <c r="D48" s="46" t="s">
        <v>215</v>
      </c>
      <c r="E48" s="46" t="s">
        <v>216</v>
      </c>
      <c r="F48" s="46" t="s">
        <v>217</v>
      </c>
      <c r="G48" s="46" t="s">
        <v>218</v>
      </c>
      <c r="H48" s="46" t="s">
        <v>219</v>
      </c>
      <c r="I48" s="100"/>
      <c r="J48" s="100"/>
      <c r="K48" s="100"/>
      <c r="L48" s="100"/>
      <c r="M48" s="100"/>
      <c r="N48" s="100"/>
      <c r="O48" s="100"/>
      <c r="P48" s="100"/>
      <c r="Q48" s="100"/>
      <c r="R48" s="100"/>
      <c r="S48" s="28"/>
    </row>
    <row r="49" spans="1:19" ht="42.75">
      <c r="A49" s="55"/>
      <c r="B49" s="46" t="s">
        <v>213</v>
      </c>
      <c r="C49" s="46" t="s">
        <v>214</v>
      </c>
      <c r="D49" s="46" t="s">
        <v>215</v>
      </c>
      <c r="E49" s="46" t="s">
        <v>216</v>
      </c>
      <c r="F49" s="46" t="s">
        <v>217</v>
      </c>
      <c r="G49" s="46" t="s">
        <v>218</v>
      </c>
      <c r="H49" s="46" t="s">
        <v>219</v>
      </c>
      <c r="I49" s="100"/>
      <c r="J49" s="100"/>
      <c r="K49" s="100"/>
      <c r="L49" s="100"/>
      <c r="M49" s="100"/>
      <c r="N49" s="100"/>
      <c r="O49" s="100"/>
      <c r="P49" s="100"/>
      <c r="Q49" s="100"/>
      <c r="R49" s="100"/>
      <c r="S49" s="28"/>
    </row>
    <row r="50" spans="1:19" ht="42.75">
      <c r="A50" s="55"/>
      <c r="B50" s="46" t="s">
        <v>213</v>
      </c>
      <c r="C50" s="46" t="s">
        <v>214</v>
      </c>
      <c r="D50" s="46" t="s">
        <v>215</v>
      </c>
      <c r="E50" s="46" t="s">
        <v>216</v>
      </c>
      <c r="F50" s="46" t="s">
        <v>217</v>
      </c>
      <c r="G50" s="46" t="s">
        <v>218</v>
      </c>
      <c r="H50" s="46" t="s">
        <v>219</v>
      </c>
      <c r="I50" s="100"/>
      <c r="J50" s="100"/>
      <c r="K50" s="100"/>
      <c r="L50" s="100"/>
      <c r="M50" s="100"/>
      <c r="N50" s="100"/>
      <c r="O50" s="100"/>
      <c r="P50" s="100"/>
      <c r="Q50" s="100"/>
      <c r="R50" s="100"/>
      <c r="S50" s="28"/>
    </row>
    <row r="51" spans="1:19" ht="42.75">
      <c r="A51" s="55"/>
      <c r="B51" s="46" t="s">
        <v>213</v>
      </c>
      <c r="C51" s="46" t="s">
        <v>214</v>
      </c>
      <c r="D51" s="46" t="s">
        <v>215</v>
      </c>
      <c r="E51" s="46" t="s">
        <v>216</v>
      </c>
      <c r="F51" s="46" t="s">
        <v>217</v>
      </c>
      <c r="G51" s="46" t="s">
        <v>218</v>
      </c>
      <c r="H51" s="46" t="s">
        <v>219</v>
      </c>
      <c r="I51" s="100"/>
      <c r="J51" s="100"/>
      <c r="K51" s="100"/>
      <c r="L51" s="100"/>
      <c r="M51" s="100"/>
      <c r="N51" s="100"/>
      <c r="O51" s="100"/>
      <c r="P51" s="100"/>
      <c r="Q51" s="100"/>
      <c r="R51" s="100"/>
      <c r="S51" s="28"/>
    </row>
    <row r="52" spans="1:19" ht="42.75">
      <c r="A52" s="55"/>
      <c r="B52" s="46" t="s">
        <v>213</v>
      </c>
      <c r="C52" s="46" t="s">
        <v>214</v>
      </c>
      <c r="D52" s="46" t="s">
        <v>215</v>
      </c>
      <c r="E52" s="46" t="s">
        <v>216</v>
      </c>
      <c r="F52" s="46" t="s">
        <v>217</v>
      </c>
      <c r="G52" s="46" t="s">
        <v>218</v>
      </c>
      <c r="H52" s="46" t="s">
        <v>219</v>
      </c>
      <c r="I52" s="100"/>
      <c r="J52" s="100"/>
      <c r="K52" s="100"/>
      <c r="L52" s="100"/>
      <c r="M52" s="100"/>
      <c r="N52" s="100"/>
      <c r="O52" s="100"/>
      <c r="P52" s="100"/>
      <c r="Q52" s="100"/>
      <c r="R52" s="100"/>
      <c r="S52" s="28"/>
    </row>
    <row r="53" spans="1:19" s="2" customFormat="1" ht="42.75">
      <c r="A53" s="55"/>
      <c r="B53" s="46" t="s">
        <v>213</v>
      </c>
      <c r="C53" s="46" t="s">
        <v>214</v>
      </c>
      <c r="D53" s="46" t="s">
        <v>215</v>
      </c>
      <c r="E53" s="46" t="s">
        <v>216</v>
      </c>
      <c r="F53" s="46" t="s">
        <v>217</v>
      </c>
      <c r="G53" s="46" t="s">
        <v>218</v>
      </c>
      <c r="H53" s="46" t="s">
        <v>219</v>
      </c>
      <c r="I53" s="100"/>
      <c r="J53" s="100"/>
      <c r="K53" s="100"/>
      <c r="L53" s="100"/>
      <c r="M53" s="100"/>
      <c r="N53" s="100"/>
      <c r="O53" s="100"/>
      <c r="P53" s="100"/>
      <c r="Q53" s="100"/>
      <c r="R53" s="100"/>
      <c r="S53" s="52"/>
    </row>
    <row r="54" spans="1:19" ht="24.95" customHeight="1">
      <c r="A54" s="93" t="s">
        <v>257</v>
      </c>
      <c r="B54" s="94"/>
      <c r="C54" s="94"/>
      <c r="D54" s="94"/>
      <c r="E54" s="95"/>
      <c r="F54" s="95"/>
      <c r="G54" s="95"/>
      <c r="H54" s="25"/>
      <c r="I54" s="26" t="s">
        <v>258</v>
      </c>
      <c r="J54" s="26"/>
      <c r="K54" s="26"/>
      <c r="L54" s="26"/>
      <c r="M54" s="26"/>
      <c r="N54" s="26"/>
      <c r="O54" s="26"/>
      <c r="P54" s="27"/>
      <c r="Q54" s="28"/>
      <c r="R54" s="28"/>
      <c r="S54" s="28"/>
    </row>
  </sheetData>
  <mergeCells count="109">
    <mergeCell ref="I38:J38"/>
    <mergeCell ref="I39:J39"/>
    <mergeCell ref="I40:J40"/>
    <mergeCell ref="A54:D54"/>
    <mergeCell ref="E54:G54"/>
    <mergeCell ref="A5:A7"/>
    <mergeCell ref="A8:A11"/>
    <mergeCell ref="A25:A53"/>
    <mergeCell ref="I41:R53"/>
    <mergeCell ref="I29:J29"/>
    <mergeCell ref="I30:J30"/>
    <mergeCell ref="I31:J31"/>
    <mergeCell ref="I32:J32"/>
    <mergeCell ref="I33:J33"/>
    <mergeCell ref="I34:J34"/>
    <mergeCell ref="I35:J35"/>
    <mergeCell ref="I36:J36"/>
    <mergeCell ref="I37:J37"/>
    <mergeCell ref="A23:D23"/>
    <mergeCell ref="F23:G23"/>
    <mergeCell ref="H23:J23"/>
    <mergeCell ref="O23:P23"/>
    <mergeCell ref="I24:J24"/>
    <mergeCell ref="I25:J25"/>
    <mergeCell ref="I26:J26"/>
    <mergeCell ref="I27:J27"/>
    <mergeCell ref="I28:J28"/>
    <mergeCell ref="A20:D20"/>
    <mergeCell ref="F20:G20"/>
    <mergeCell ref="H20:J20"/>
    <mergeCell ref="O20:P20"/>
    <mergeCell ref="A21:D21"/>
    <mergeCell ref="F21:G21"/>
    <mergeCell ref="H21:J21"/>
    <mergeCell ref="O21:P21"/>
    <mergeCell ref="A22:D22"/>
    <mergeCell ref="F22:G22"/>
    <mergeCell ref="H22:J22"/>
    <mergeCell ref="O22:P22"/>
    <mergeCell ref="A17:D17"/>
    <mergeCell ref="F17:G17"/>
    <mergeCell ref="H17:J17"/>
    <mergeCell ref="O17:P17"/>
    <mergeCell ref="A18:D18"/>
    <mergeCell ref="F18:G18"/>
    <mergeCell ref="H18:J18"/>
    <mergeCell ref="O18:P18"/>
    <mergeCell ref="A19:D19"/>
    <mergeCell ref="F19:G19"/>
    <mergeCell ref="H19:I19"/>
    <mergeCell ref="J19:K19"/>
    <mergeCell ref="O19:P19"/>
    <mergeCell ref="A14:D14"/>
    <mergeCell ref="F14:G14"/>
    <mergeCell ref="H14:J14"/>
    <mergeCell ref="O14:P14"/>
    <mergeCell ref="A15:D15"/>
    <mergeCell ref="F15:G15"/>
    <mergeCell ref="H15:J15"/>
    <mergeCell ref="O15:P15"/>
    <mergeCell ref="A16:D16"/>
    <mergeCell ref="F16:G16"/>
    <mergeCell ref="H16:J16"/>
    <mergeCell ref="O16:P16"/>
    <mergeCell ref="B11:D11"/>
    <mergeCell ref="F11:G11"/>
    <mergeCell ref="H11:J11"/>
    <mergeCell ref="O11:P11"/>
    <mergeCell ref="A12:D12"/>
    <mergeCell ref="F12:G12"/>
    <mergeCell ref="H12:J12"/>
    <mergeCell ref="O12:P12"/>
    <mergeCell ref="A13:D13"/>
    <mergeCell ref="F13:G13"/>
    <mergeCell ref="H13:J13"/>
    <mergeCell ref="O13:P13"/>
    <mergeCell ref="B8:D8"/>
    <mergeCell ref="F8:G8"/>
    <mergeCell ref="H8:J8"/>
    <mergeCell ref="O8:P8"/>
    <mergeCell ref="B9:D9"/>
    <mergeCell ref="F9:G9"/>
    <mergeCell ref="H9:J9"/>
    <mergeCell ref="O9:P9"/>
    <mergeCell ref="B10:D10"/>
    <mergeCell ref="F10:G10"/>
    <mergeCell ref="H10:J10"/>
    <mergeCell ref="O10:P10"/>
    <mergeCell ref="B5:D5"/>
    <mergeCell ref="F5:G5"/>
    <mergeCell ref="H5:J5"/>
    <mergeCell ref="O5:P5"/>
    <mergeCell ref="B6:D6"/>
    <mergeCell ref="F6:G6"/>
    <mergeCell ref="H6:J6"/>
    <mergeCell ref="O6:P6"/>
    <mergeCell ref="B7:D7"/>
    <mergeCell ref="F7:G7"/>
    <mergeCell ref="H7:J7"/>
    <mergeCell ref="O7:P7"/>
    <mergeCell ref="A1:R1"/>
    <mergeCell ref="A2:R2"/>
    <mergeCell ref="A3:I3"/>
    <mergeCell ref="J3:L3"/>
    <mergeCell ref="M3:R3"/>
    <mergeCell ref="A4:D4"/>
    <mergeCell ref="F4:G4"/>
    <mergeCell ref="H4:J4"/>
    <mergeCell ref="O4:P4"/>
  </mergeCells>
  <phoneticPr fontId="6" type="noConversion"/>
  <pageMargins left="0.75" right="0.75" top="1" bottom="1" header="0.5" footer="0.5"/>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C54"/>
  <sheetViews>
    <sheetView workbookViewId="0">
      <selection activeCell="N22" sqref="N22"/>
    </sheetView>
  </sheetViews>
  <sheetFormatPr defaultColWidth="9" defaultRowHeight="13.5"/>
  <cols>
    <col min="1" max="1" width="3.25" style="1" customWidth="1"/>
    <col min="2" max="2" width="3.625" style="1" customWidth="1"/>
    <col min="3" max="3" width="4.75" style="1" customWidth="1"/>
    <col min="4" max="4" width="3.25" style="1" customWidth="1"/>
    <col min="5" max="5" width="5.25" style="1" customWidth="1"/>
    <col min="6" max="6" width="5.75" style="1" customWidth="1"/>
    <col min="7" max="7" width="3.25" style="1" customWidth="1"/>
    <col min="8" max="8" width="7.875" style="1" customWidth="1"/>
    <col min="9" max="9" width="2.375" style="1" customWidth="1"/>
    <col min="10" max="11" width="6.5" style="1" customWidth="1"/>
    <col min="12" max="12" width="9.5" style="1" customWidth="1"/>
    <col min="13" max="13" width="11.25" style="1" customWidth="1"/>
    <col min="14" max="14" width="10.75" style="1" customWidth="1"/>
    <col min="15" max="16" width="7.875" style="1" customWidth="1"/>
    <col min="17" max="17" width="12.625" style="1"/>
    <col min="18" max="18" width="15" style="1" customWidth="1"/>
    <col min="19" max="16383" width="9" style="1"/>
  </cols>
  <sheetData>
    <row r="1" spans="1:18" s="1" customFormat="1" ht="33" customHeight="1">
      <c r="A1" s="101" t="s">
        <v>1</v>
      </c>
      <c r="B1" s="102"/>
      <c r="C1" s="102"/>
      <c r="D1" s="102"/>
      <c r="E1" s="102"/>
      <c r="F1" s="102"/>
      <c r="G1" s="102"/>
      <c r="H1" s="102"/>
      <c r="I1" s="102"/>
      <c r="J1" s="102"/>
      <c r="K1" s="102"/>
      <c r="L1" s="102"/>
      <c r="M1" s="102"/>
      <c r="N1" s="102"/>
      <c r="O1" s="102"/>
      <c r="P1" s="101"/>
    </row>
    <row r="2" spans="1:18" s="1" customFormat="1" ht="20.100000000000001" customHeight="1">
      <c r="A2" s="100" t="s">
        <v>3</v>
      </c>
      <c r="B2" s="103"/>
      <c r="C2" s="103"/>
      <c r="D2" s="103"/>
      <c r="E2" s="103"/>
      <c r="F2" s="103"/>
      <c r="G2" s="103"/>
      <c r="H2" s="103"/>
      <c r="I2" s="103"/>
      <c r="J2" s="104" t="s">
        <v>4</v>
      </c>
      <c r="K2" s="105"/>
      <c r="L2" s="106"/>
      <c r="M2" s="107">
        <v>45963</v>
      </c>
      <c r="N2" s="107"/>
      <c r="O2" s="107"/>
      <c r="P2" s="108"/>
    </row>
    <row r="3" spans="1:18" s="1" customFormat="1" ht="20.100000000000001" customHeight="1">
      <c r="A3" s="100" t="s">
        <v>5</v>
      </c>
      <c r="B3" s="103"/>
      <c r="C3" s="103"/>
      <c r="D3" s="103"/>
      <c r="E3" s="4" t="s">
        <v>6</v>
      </c>
      <c r="F3" s="104" t="s">
        <v>7</v>
      </c>
      <c r="G3" s="106"/>
      <c r="H3" s="105" t="s">
        <v>8</v>
      </c>
      <c r="I3" s="105"/>
      <c r="J3" s="106"/>
      <c r="K3" s="4" t="s">
        <v>9</v>
      </c>
      <c r="L3" s="4" t="s">
        <v>259</v>
      </c>
      <c r="M3" s="4" t="s">
        <v>260</v>
      </c>
      <c r="N3" s="4" t="s">
        <v>261</v>
      </c>
      <c r="O3" s="103" t="s">
        <v>262</v>
      </c>
      <c r="P3" s="100"/>
    </row>
    <row r="4" spans="1:18" s="1" customFormat="1" ht="24.95" customHeight="1">
      <c r="A4" s="140" t="s">
        <v>16</v>
      </c>
      <c r="B4" s="103" t="s">
        <v>17</v>
      </c>
      <c r="C4" s="103"/>
      <c r="D4" s="103"/>
      <c r="E4" s="4" t="s">
        <v>18</v>
      </c>
      <c r="F4" s="109">
        <v>1164.24</v>
      </c>
      <c r="G4" s="110"/>
      <c r="H4" s="111">
        <v>1164.6600000000001</v>
      </c>
      <c r="I4" s="111"/>
      <c r="J4" s="110"/>
      <c r="K4" s="5"/>
      <c r="L4" s="6">
        <f t="shared" ref="L4:L23" si="0">F4+H4</f>
        <v>2328.9</v>
      </c>
      <c r="M4" s="6">
        <f>L4+'[1]11.1'!M4</f>
        <v>9170.68</v>
      </c>
      <c r="N4" s="6">
        <f>L4+'[1]11.1'!N4</f>
        <v>11361.36</v>
      </c>
      <c r="O4" s="112">
        <f>L4+'[1]11.1'!O4</f>
        <v>63722.03</v>
      </c>
      <c r="P4" s="113"/>
      <c r="Q4" s="7"/>
    </row>
    <row r="5" spans="1:18" s="1" customFormat="1" ht="24.95" customHeight="1">
      <c r="A5" s="141"/>
      <c r="B5" s="103" t="s">
        <v>26</v>
      </c>
      <c r="C5" s="103"/>
      <c r="D5" s="103"/>
      <c r="E5" s="4" t="s">
        <v>18</v>
      </c>
      <c r="F5" s="109">
        <v>1165.42</v>
      </c>
      <c r="G5" s="110"/>
      <c r="H5" s="111">
        <v>1162.52</v>
      </c>
      <c r="I5" s="111"/>
      <c r="J5" s="110"/>
      <c r="K5" s="5"/>
      <c r="L5" s="6">
        <f t="shared" si="0"/>
        <v>2327.94</v>
      </c>
      <c r="M5" s="6">
        <f>L5+'[1]11.1'!M5</f>
        <v>9167.44</v>
      </c>
      <c r="N5" s="6">
        <f>L5+'[1]11.1'!N5</f>
        <v>11358.54</v>
      </c>
      <c r="O5" s="112">
        <f>L5+'[1]11.1'!O5</f>
        <v>63718.78</v>
      </c>
      <c r="P5" s="113"/>
    </row>
    <row r="6" spans="1:18" s="1" customFormat="1" ht="24.95" customHeight="1">
      <c r="A6" s="142"/>
      <c r="B6" s="103" t="s">
        <v>33</v>
      </c>
      <c r="C6" s="103"/>
      <c r="D6" s="103"/>
      <c r="E6" s="4" t="s">
        <v>18</v>
      </c>
      <c r="F6" s="68">
        <f>F4+F5</f>
        <v>2329.66</v>
      </c>
      <c r="G6" s="69"/>
      <c r="H6" s="70">
        <f>H4+H5</f>
        <v>2327.1799999999998</v>
      </c>
      <c r="I6" s="70"/>
      <c r="J6" s="69"/>
      <c r="K6" s="6"/>
      <c r="L6" s="6">
        <f t="shared" si="0"/>
        <v>4656.84</v>
      </c>
      <c r="M6" s="6">
        <f>L6+'[1]11.1'!M6</f>
        <v>18338.12</v>
      </c>
      <c r="N6" s="6">
        <f>L6+'[1]11.1'!N6</f>
        <v>22719.9</v>
      </c>
      <c r="O6" s="112">
        <f>L6+'[1]11.1'!O6</f>
        <v>127440.81</v>
      </c>
      <c r="P6" s="113"/>
      <c r="Q6" s="7"/>
      <c r="R6" s="7"/>
    </row>
    <row r="7" spans="1:18" s="1" customFormat="1" ht="20.100000000000001" customHeight="1">
      <c r="A7" s="100" t="s">
        <v>43</v>
      </c>
      <c r="B7" s="100" t="s">
        <v>44</v>
      </c>
      <c r="C7" s="103"/>
      <c r="D7" s="103"/>
      <c r="E7" s="4" t="s">
        <v>18</v>
      </c>
      <c r="F7" s="114">
        <v>322</v>
      </c>
      <c r="G7" s="115"/>
      <c r="H7" s="116">
        <v>330</v>
      </c>
      <c r="I7" s="116"/>
      <c r="J7" s="115"/>
      <c r="K7" s="11"/>
      <c r="L7" s="6">
        <f t="shared" si="0"/>
        <v>652</v>
      </c>
      <c r="M7" s="6">
        <f>L7+'[1]11.1'!M7</f>
        <v>2607</v>
      </c>
      <c r="N7" s="6">
        <f>L7+'[1]11.1'!N7</f>
        <v>3222</v>
      </c>
      <c r="O7" s="112">
        <f>L7+'[1]11.1'!O7</f>
        <v>16462.5</v>
      </c>
      <c r="P7" s="113"/>
    </row>
    <row r="8" spans="1:18" s="1" customFormat="1" ht="20.100000000000001" customHeight="1">
      <c r="A8" s="100"/>
      <c r="B8" s="103" t="s">
        <v>54</v>
      </c>
      <c r="C8" s="103"/>
      <c r="D8" s="103"/>
      <c r="E8" s="4" t="s">
        <v>18</v>
      </c>
      <c r="F8" s="114"/>
      <c r="G8" s="115"/>
      <c r="H8" s="114"/>
      <c r="I8" s="116"/>
      <c r="J8" s="115"/>
      <c r="K8" s="12"/>
      <c r="L8" s="6">
        <f t="shared" si="0"/>
        <v>0</v>
      </c>
      <c r="M8" s="6">
        <f>L8+'[1]11.1'!M8</f>
        <v>0</v>
      </c>
      <c r="N8" s="6">
        <f>L8+'[1]11.1'!N8</f>
        <v>0</v>
      </c>
      <c r="O8" s="112">
        <f>L8+'[1]11.1'!O8</f>
        <v>141</v>
      </c>
      <c r="P8" s="113"/>
    </row>
    <row r="9" spans="1:18" s="1" customFormat="1" ht="20.100000000000001" customHeight="1">
      <c r="A9" s="100"/>
      <c r="B9" s="117" t="s">
        <v>64</v>
      </c>
      <c r="C9" s="118"/>
      <c r="D9" s="119"/>
      <c r="E9" s="4" t="s">
        <v>18</v>
      </c>
      <c r="F9" s="8"/>
      <c r="G9" s="9"/>
      <c r="H9" s="8"/>
      <c r="I9" s="10"/>
      <c r="J9" s="9"/>
      <c r="K9" s="11"/>
      <c r="L9" s="6">
        <f t="shared" si="0"/>
        <v>0</v>
      </c>
      <c r="M9" s="6">
        <f>L9+'[1]11.1'!M9</f>
        <v>0</v>
      </c>
      <c r="N9" s="6">
        <f>L9+'[1]11.1'!N9</f>
        <v>0</v>
      </c>
      <c r="O9" s="112">
        <f>L9+'[1]11.1'!O9</f>
        <v>0</v>
      </c>
      <c r="P9" s="113"/>
    </row>
    <row r="10" spans="1:18" s="1" customFormat="1" ht="20.100000000000001" customHeight="1">
      <c r="A10" s="100"/>
      <c r="B10" s="103" t="s">
        <v>33</v>
      </c>
      <c r="C10" s="103"/>
      <c r="D10" s="103"/>
      <c r="E10" s="4" t="s">
        <v>18</v>
      </c>
      <c r="F10" s="120">
        <f>F7+F8+F9</f>
        <v>322</v>
      </c>
      <c r="G10" s="121"/>
      <c r="H10" s="120">
        <f>H7+H8+I9</f>
        <v>330</v>
      </c>
      <c r="I10" s="122"/>
      <c r="J10" s="121"/>
      <c r="K10" s="11"/>
      <c r="L10" s="6">
        <f t="shared" si="0"/>
        <v>652</v>
      </c>
      <c r="M10" s="6">
        <f>L10+'[1]11.1'!M10</f>
        <v>2607</v>
      </c>
      <c r="N10" s="6">
        <f>L10+'[1]11.1'!N10</f>
        <v>3222</v>
      </c>
      <c r="O10" s="112">
        <f>L10+'[1]11.1'!O10</f>
        <v>16603.5</v>
      </c>
      <c r="P10" s="113"/>
    </row>
    <row r="11" spans="1:18" s="1" customFormat="1" ht="20.100000000000001" customHeight="1">
      <c r="A11" s="100" t="s">
        <v>83</v>
      </c>
      <c r="B11" s="103"/>
      <c r="C11" s="103"/>
      <c r="D11" s="103"/>
      <c r="E11" s="4" t="s">
        <v>18</v>
      </c>
      <c r="F11" s="123">
        <f>F6*L26/100</f>
        <v>372.04670199999998</v>
      </c>
      <c r="G11" s="124"/>
      <c r="H11" s="123">
        <f>H6*M26/100</f>
        <v>359.08387399999998</v>
      </c>
      <c r="I11" s="125"/>
      <c r="J11" s="125"/>
      <c r="K11" s="13"/>
      <c r="L11" s="6">
        <f t="shared" si="0"/>
        <v>731.13057600000002</v>
      </c>
      <c r="M11" s="6">
        <f>L11+'[1]11.1'!M11</f>
        <v>2917.2574840000002</v>
      </c>
      <c r="N11" s="6">
        <f>L11+'[1]11.1'!N11</f>
        <v>3632.8044199999999</v>
      </c>
      <c r="O11" s="112">
        <f>L11+'[1]11.1'!O11</f>
        <v>20359.522981999999</v>
      </c>
      <c r="P11" s="113"/>
    </row>
    <row r="12" spans="1:18" s="1" customFormat="1" ht="20.100000000000001" customHeight="1">
      <c r="A12" s="100" t="s">
        <v>93</v>
      </c>
      <c r="B12" s="103"/>
      <c r="C12" s="103"/>
      <c r="D12" s="103"/>
      <c r="E12" s="4" t="s">
        <v>18</v>
      </c>
      <c r="F12" s="123">
        <f>F6*L29/100</f>
        <v>6.5230480000000002</v>
      </c>
      <c r="G12" s="124"/>
      <c r="H12" s="125">
        <f>H6*M29/100</f>
        <v>6.9815399999999999</v>
      </c>
      <c r="I12" s="125"/>
      <c r="J12" s="124"/>
      <c r="K12" s="13"/>
      <c r="L12" s="6">
        <f t="shared" si="0"/>
        <v>13.504588</v>
      </c>
      <c r="M12" s="6">
        <f>L12+'[1]11.1'!M12</f>
        <v>53.837710999999999</v>
      </c>
      <c r="N12" s="6">
        <f>L12+'[1]11.1'!N12</f>
        <v>65.668690999999995</v>
      </c>
      <c r="O12" s="112">
        <f>L12+'[1]11.1'!O12</f>
        <v>354.27834200000001</v>
      </c>
      <c r="P12" s="113"/>
    </row>
    <row r="13" spans="1:18" s="1" customFormat="1" ht="20.100000000000001" customHeight="1">
      <c r="A13" s="100" t="s">
        <v>103</v>
      </c>
      <c r="B13" s="103"/>
      <c r="C13" s="103"/>
      <c r="D13" s="103"/>
      <c r="E13" s="4" t="s">
        <v>18</v>
      </c>
      <c r="F13" s="123">
        <f>F6*L32*0.1/100</f>
        <v>1.7006517999999999</v>
      </c>
      <c r="G13" s="124"/>
      <c r="H13" s="123">
        <f>H6*M32*0.1/100</f>
        <v>1.8617440000000001</v>
      </c>
      <c r="I13" s="125"/>
      <c r="J13" s="124"/>
      <c r="K13" s="13"/>
      <c r="L13" s="6">
        <f t="shared" si="0"/>
        <v>3.5623958</v>
      </c>
      <c r="M13" s="6">
        <f>L13+'[1]11.1'!M13</f>
        <v>13.9591472</v>
      </c>
      <c r="N13" s="6">
        <f>L13+'[1]11.1'!N13</f>
        <v>16.938618399999999</v>
      </c>
      <c r="O13" s="112">
        <f>L13+'[1]11.1'!O13</f>
        <v>93.050700300000003</v>
      </c>
      <c r="P13" s="113"/>
    </row>
    <row r="14" spans="1:18" s="1" customFormat="1" ht="20.100000000000001" customHeight="1">
      <c r="A14" s="100" t="s">
        <v>113</v>
      </c>
      <c r="B14" s="103"/>
      <c r="C14" s="103"/>
      <c r="D14" s="103"/>
      <c r="E14" s="4" t="s">
        <v>18</v>
      </c>
      <c r="F14" s="123">
        <f>F16*L39/100</f>
        <v>23.26</v>
      </c>
      <c r="G14" s="124"/>
      <c r="H14" s="123">
        <f>H16*M39/100</f>
        <v>25.608000000000001</v>
      </c>
      <c r="I14" s="125"/>
      <c r="J14" s="124"/>
      <c r="K14" s="13"/>
      <c r="L14" s="6">
        <f t="shared" si="0"/>
        <v>48.868000000000002</v>
      </c>
      <c r="M14" s="6">
        <f>L14+'[1]11.1'!M14</f>
        <v>243.6336</v>
      </c>
      <c r="N14" s="6">
        <f>L14+'[1]11.1'!N14</f>
        <v>336.50360000000001</v>
      </c>
      <c r="O14" s="112">
        <f>L14+'[1]11.1'!O14</f>
        <v>1852.7645</v>
      </c>
      <c r="P14" s="113"/>
    </row>
    <row r="15" spans="1:18" s="1" customFormat="1" ht="20.100000000000001" customHeight="1">
      <c r="A15" s="100" t="s">
        <v>123</v>
      </c>
      <c r="B15" s="103"/>
      <c r="C15" s="103"/>
      <c r="D15" s="103"/>
      <c r="E15" s="4" t="s">
        <v>18</v>
      </c>
      <c r="F15" s="123">
        <f>F16*L40/100</f>
        <v>40.33</v>
      </c>
      <c r="G15" s="124"/>
      <c r="H15" s="123">
        <f>H16*M40/100</f>
        <v>44</v>
      </c>
      <c r="I15" s="125"/>
      <c r="J15" s="124"/>
      <c r="K15" s="13"/>
      <c r="L15" s="6">
        <f t="shared" si="0"/>
        <v>84.33</v>
      </c>
      <c r="M15" s="6">
        <f>L15+'[1]11.1'!M15</f>
        <v>420.14249999999998</v>
      </c>
      <c r="N15" s="6">
        <f>L15+'[1]11.1'!N15</f>
        <v>580.14250000000004</v>
      </c>
      <c r="O15" s="112">
        <f>L15+'[1]11.1'!O15</f>
        <v>3191.4931000000001</v>
      </c>
      <c r="P15" s="113"/>
    </row>
    <row r="16" spans="1:18" s="1" customFormat="1" ht="20.100000000000001" customHeight="1">
      <c r="A16" s="100" t="s">
        <v>263</v>
      </c>
      <c r="B16" s="103"/>
      <c r="C16" s="103"/>
      <c r="D16" s="103"/>
      <c r="E16" s="4" t="s">
        <v>18</v>
      </c>
      <c r="F16" s="126">
        <v>50</v>
      </c>
      <c r="G16" s="127"/>
      <c r="H16" s="126">
        <v>55</v>
      </c>
      <c r="I16" s="128"/>
      <c r="J16" s="127"/>
      <c r="K16" s="14"/>
      <c r="L16" s="6">
        <f t="shared" si="0"/>
        <v>105</v>
      </c>
      <c r="M16" s="6">
        <f>L16+'[1]11.1'!M16</f>
        <v>524</v>
      </c>
      <c r="N16" s="6">
        <f>L16+'[1]11.1'!N16</f>
        <v>724</v>
      </c>
      <c r="O16" s="112">
        <f>L16+'[1]11.1'!O16</f>
        <v>3986</v>
      </c>
      <c r="P16" s="113"/>
    </row>
    <row r="17" spans="1:18" s="1" customFormat="1" ht="20.100000000000001" customHeight="1">
      <c r="A17" s="117" t="s">
        <v>264</v>
      </c>
      <c r="B17" s="118"/>
      <c r="C17" s="118"/>
      <c r="D17" s="119"/>
      <c r="E17" s="4"/>
      <c r="F17" s="123"/>
      <c r="G17" s="124"/>
      <c r="H17" s="123"/>
      <c r="I17" s="125"/>
      <c r="J17" s="124"/>
      <c r="K17" s="15"/>
      <c r="L17" s="6">
        <f t="shared" si="0"/>
        <v>0</v>
      </c>
      <c r="M17" s="6">
        <f>L17+'[1]11.1'!M17</f>
        <v>0</v>
      </c>
      <c r="N17" s="6">
        <f>L17+'[1]11.1'!N17</f>
        <v>0</v>
      </c>
      <c r="O17" s="112">
        <f>L17+'[1]11.1'!O17</f>
        <v>0</v>
      </c>
      <c r="P17" s="113"/>
    </row>
    <row r="18" spans="1:18" s="1" customFormat="1" ht="20.100000000000001" customHeight="1">
      <c r="A18" s="100" t="s">
        <v>141</v>
      </c>
      <c r="B18" s="103"/>
      <c r="C18" s="103"/>
      <c r="D18" s="103"/>
      <c r="E18" s="4" t="s">
        <v>18</v>
      </c>
      <c r="F18" s="123">
        <f>F6*L34/100</f>
        <v>2060.1183380000002</v>
      </c>
      <c r="G18" s="124"/>
      <c r="H18" s="123">
        <f>H6*M34/100</f>
        <v>2056.0635299999999</v>
      </c>
      <c r="I18" s="125"/>
      <c r="J18" s="124"/>
      <c r="K18" s="15"/>
      <c r="L18" s="6">
        <f t="shared" si="0"/>
        <v>4116.1818679999997</v>
      </c>
      <c r="M18" s="6">
        <f>L18+'[1]11.1'!M18</f>
        <v>16200.993968999999</v>
      </c>
      <c r="N18" s="6">
        <f>L18+'[1]11.1'!N18</f>
        <v>20071.639071000001</v>
      </c>
      <c r="O18" s="112">
        <f>L18+'[1]11.1'!O18</f>
        <v>112614.21378219999</v>
      </c>
      <c r="P18" s="113"/>
    </row>
    <row r="19" spans="1:18" s="1" customFormat="1" ht="20.100000000000001" customHeight="1">
      <c r="A19" s="100" t="s">
        <v>151</v>
      </c>
      <c r="B19" s="103"/>
      <c r="C19" s="103"/>
      <c r="D19" s="103"/>
      <c r="E19" s="4" t="s">
        <v>18</v>
      </c>
      <c r="F19" s="114">
        <v>120</v>
      </c>
      <c r="G19" s="115"/>
      <c r="H19" s="114">
        <v>96</v>
      </c>
      <c r="I19" s="116"/>
      <c r="J19" s="115"/>
      <c r="K19" s="14"/>
      <c r="L19" s="6">
        <f t="shared" si="0"/>
        <v>216</v>
      </c>
      <c r="M19" s="6">
        <f>L19+'[1]11.1'!M19</f>
        <v>841.5</v>
      </c>
      <c r="N19" s="6">
        <f>L19+'[1]11.1'!N19</f>
        <v>1060.5</v>
      </c>
      <c r="O19" s="112">
        <f>L19+'[1]11.1'!O19</f>
        <v>6564</v>
      </c>
      <c r="P19" s="113"/>
      <c r="Q19" s="1">
        <f>O19/O10</f>
        <v>0.39533833227933901</v>
      </c>
    </row>
    <row r="20" spans="1:18" s="1" customFormat="1" ht="20.100000000000001" customHeight="1">
      <c r="A20" s="100" t="s">
        <v>159</v>
      </c>
      <c r="B20" s="103"/>
      <c r="C20" s="103"/>
      <c r="D20" s="103"/>
      <c r="E20" s="4" t="s">
        <v>18</v>
      </c>
      <c r="F20" s="114">
        <v>12</v>
      </c>
      <c r="G20" s="115"/>
      <c r="H20" s="114">
        <v>9.6</v>
      </c>
      <c r="I20" s="116"/>
      <c r="J20" s="115"/>
      <c r="K20" s="14"/>
      <c r="L20" s="6">
        <f t="shared" si="0"/>
        <v>21.6</v>
      </c>
      <c r="M20" s="6">
        <f>L20+'[1]11.1'!M20</f>
        <v>84.15</v>
      </c>
      <c r="N20" s="6">
        <f>L20+'[1]11.1'!N20</f>
        <v>106.05</v>
      </c>
      <c r="O20" s="112">
        <f>L20+'[1]11.1'!O20</f>
        <v>646.85</v>
      </c>
      <c r="P20" s="113"/>
      <c r="Q20" s="1">
        <f>O20/O10</f>
        <v>3.8958653295991803E-2</v>
      </c>
    </row>
    <row r="21" spans="1:18" s="1" customFormat="1" ht="20.100000000000001" customHeight="1">
      <c r="A21" s="117" t="s">
        <v>169</v>
      </c>
      <c r="B21" s="118"/>
      <c r="C21" s="118"/>
      <c r="D21" s="119"/>
      <c r="E21" s="4" t="s">
        <v>18</v>
      </c>
      <c r="F21" s="114">
        <v>1</v>
      </c>
      <c r="G21" s="115"/>
      <c r="H21" s="114">
        <v>1</v>
      </c>
      <c r="I21" s="116"/>
      <c r="J21" s="115"/>
      <c r="K21" s="16"/>
      <c r="L21" s="6">
        <f t="shared" si="0"/>
        <v>2</v>
      </c>
      <c r="M21" s="6">
        <f>L21+'[1]11.1'!M21</f>
        <v>7</v>
      </c>
      <c r="N21" s="6">
        <f>L21+'[1]11.1'!N21</f>
        <v>9</v>
      </c>
      <c r="O21" s="112">
        <f>L21+'[1]11.1'!O21</f>
        <v>46.5</v>
      </c>
      <c r="P21" s="113"/>
    </row>
    <row r="22" spans="1:18" s="1" customFormat="1" ht="20.100000000000001" customHeight="1">
      <c r="A22" s="100" t="s">
        <v>177</v>
      </c>
      <c r="B22" s="103"/>
      <c r="C22" s="103"/>
      <c r="D22" s="103"/>
      <c r="E22" s="4" t="s">
        <v>178</v>
      </c>
      <c r="F22" s="129">
        <v>0.5</v>
      </c>
      <c r="G22" s="130"/>
      <c r="H22" s="131">
        <v>0.5</v>
      </c>
      <c r="I22" s="132"/>
      <c r="J22" s="133"/>
      <c r="K22" s="17"/>
      <c r="L22" s="6">
        <f t="shared" si="0"/>
        <v>1</v>
      </c>
      <c r="M22" s="6">
        <f>L22+'[1]11.1'!M22</f>
        <v>4</v>
      </c>
      <c r="N22" s="6">
        <f>L22+'[1]11.1'!N22</f>
        <v>5</v>
      </c>
      <c r="O22" s="112">
        <f>L22+'[1]11.1'!O22</f>
        <v>31</v>
      </c>
      <c r="P22" s="113"/>
    </row>
    <row r="23" spans="1:18" s="1" customFormat="1" ht="20.100000000000001" customHeight="1">
      <c r="A23" s="100" t="s">
        <v>188</v>
      </c>
      <c r="B23" s="103"/>
      <c r="C23" s="103"/>
      <c r="D23" s="103"/>
      <c r="E23" s="4" t="s">
        <v>178</v>
      </c>
      <c r="F23" s="134">
        <v>0</v>
      </c>
      <c r="G23" s="106"/>
      <c r="H23" s="135">
        <v>0</v>
      </c>
      <c r="I23" s="136"/>
      <c r="J23" s="137"/>
      <c r="K23" s="17"/>
      <c r="L23" s="6">
        <f t="shared" si="0"/>
        <v>0</v>
      </c>
      <c r="M23" s="6">
        <f>L23+'[1]11.1'!M23</f>
        <v>0</v>
      </c>
      <c r="N23" s="6">
        <f>L23+'[1]11.1'!N23</f>
        <v>0</v>
      </c>
      <c r="O23" s="112">
        <f>L23+'[1]11.1'!O23</f>
        <v>0</v>
      </c>
      <c r="P23" s="113"/>
    </row>
    <row r="24" spans="1:18" s="1" customFormat="1" ht="57">
      <c r="A24" s="3" t="s">
        <v>5</v>
      </c>
      <c r="B24" s="4" t="s">
        <v>198</v>
      </c>
      <c r="C24" s="4" t="s">
        <v>199</v>
      </c>
      <c r="D24" s="3" t="s">
        <v>200</v>
      </c>
      <c r="E24" s="4" t="s">
        <v>201</v>
      </c>
      <c r="F24" s="4" t="s">
        <v>202</v>
      </c>
      <c r="G24" s="3" t="s">
        <v>203</v>
      </c>
      <c r="H24" s="4" t="s">
        <v>204</v>
      </c>
      <c r="I24" s="103" t="s">
        <v>5</v>
      </c>
      <c r="J24" s="103"/>
      <c r="K24" s="4" t="s">
        <v>6</v>
      </c>
      <c r="L24" s="16" t="s">
        <v>205</v>
      </c>
      <c r="M24" s="16" t="s">
        <v>206</v>
      </c>
      <c r="N24" s="16" t="s">
        <v>207</v>
      </c>
      <c r="O24" s="16" t="s">
        <v>208</v>
      </c>
      <c r="P24" s="18" t="s">
        <v>209</v>
      </c>
      <c r="Q24" s="19" t="s">
        <v>210</v>
      </c>
      <c r="R24" s="19" t="s">
        <v>211</v>
      </c>
    </row>
    <row r="25" spans="1:18" s="1" customFormat="1" ht="20.100000000000001" customHeight="1">
      <c r="A25" s="100" t="s">
        <v>212</v>
      </c>
      <c r="B25" s="4">
        <v>664</v>
      </c>
      <c r="C25" s="15">
        <v>10</v>
      </c>
      <c r="D25" s="4">
        <v>27</v>
      </c>
      <c r="E25" s="13">
        <v>2.8000000000000001E-2</v>
      </c>
      <c r="F25" s="13">
        <v>0.03</v>
      </c>
      <c r="G25" s="13"/>
      <c r="H25" s="15">
        <v>90</v>
      </c>
      <c r="I25" s="103" t="s">
        <v>220</v>
      </c>
      <c r="J25" s="103"/>
      <c r="K25" s="4" t="s">
        <v>221</v>
      </c>
      <c r="L25" s="20">
        <f>(L35-L34)/(L35*(100-L34))*10000</f>
        <v>10.809835212748601</v>
      </c>
      <c r="M25" s="20">
        <f>(M35-M34)/(M35*(100-M34))*10000</f>
        <v>9.4167885003716592</v>
      </c>
      <c r="N25" s="20"/>
      <c r="O25" s="20">
        <f t="shared" ref="O25:O40" si="1">(L25+M25)/2</f>
        <v>10.113311856560101</v>
      </c>
      <c r="P25" s="21">
        <f t="shared" ref="P25:P40" si="2">Q25/R25</f>
        <v>12.0535739359203</v>
      </c>
      <c r="Q25" s="7">
        <f>O25+'[1]11.1'!Q25</f>
        <v>361.60721807760899</v>
      </c>
      <c r="R25" s="1">
        <v>30</v>
      </c>
    </row>
    <row r="26" spans="1:18" s="1" customFormat="1" ht="20.100000000000001" customHeight="1">
      <c r="A26" s="100"/>
      <c r="B26" s="4">
        <v>665</v>
      </c>
      <c r="C26" s="4">
        <v>15</v>
      </c>
      <c r="D26" s="4">
        <v>32</v>
      </c>
      <c r="E26" s="13">
        <v>2.7E-2</v>
      </c>
      <c r="F26" s="13">
        <v>3.5000000000000003E-2</v>
      </c>
      <c r="G26" s="13"/>
      <c r="H26" s="15">
        <v>88</v>
      </c>
      <c r="I26" s="103" t="s">
        <v>227</v>
      </c>
      <c r="J26" s="103"/>
      <c r="K26" s="4" t="s">
        <v>221</v>
      </c>
      <c r="L26" s="22">
        <v>15.97</v>
      </c>
      <c r="M26" s="22">
        <v>15.43</v>
      </c>
      <c r="N26" s="23"/>
      <c r="O26" s="20">
        <f t="shared" si="1"/>
        <v>15.7</v>
      </c>
      <c r="P26" s="21">
        <f t="shared" si="2"/>
        <v>15.98715</v>
      </c>
      <c r="Q26" s="7">
        <f>O26+'[1]11.1'!Q26</f>
        <v>479.61450000000002</v>
      </c>
      <c r="R26" s="1">
        <v>30</v>
      </c>
    </row>
    <row r="27" spans="1:18" s="1" customFormat="1" ht="20.100000000000001" customHeight="1">
      <c r="A27" s="100"/>
      <c r="B27" s="4">
        <v>666</v>
      </c>
      <c r="C27" s="4">
        <v>12</v>
      </c>
      <c r="D27" s="4">
        <v>45</v>
      </c>
      <c r="E27" s="13">
        <v>2.9000000000000001E-2</v>
      </c>
      <c r="F27" s="13">
        <v>3.9E-2</v>
      </c>
      <c r="G27" s="13"/>
      <c r="H27" s="15">
        <v>93</v>
      </c>
      <c r="I27" s="103" t="s">
        <v>229</v>
      </c>
      <c r="J27" s="103"/>
      <c r="K27" s="4" t="s">
        <v>221</v>
      </c>
      <c r="L27" s="20">
        <v>27.24</v>
      </c>
      <c r="M27" s="20">
        <v>26.95</v>
      </c>
      <c r="N27" s="23"/>
      <c r="O27" s="20">
        <f t="shared" si="1"/>
        <v>27.094999999999999</v>
      </c>
      <c r="P27" s="21">
        <f t="shared" si="2"/>
        <v>28.102267857142898</v>
      </c>
      <c r="Q27" s="7">
        <f>O27+'[1]11.1'!Q27</f>
        <v>786.86350000000004</v>
      </c>
      <c r="R27" s="1">
        <v>28</v>
      </c>
    </row>
    <row r="28" spans="1:18" s="1" customFormat="1" ht="20.100000000000001" customHeight="1">
      <c r="A28" s="100"/>
      <c r="B28" s="4">
        <v>667</v>
      </c>
      <c r="C28" s="4">
        <v>12</v>
      </c>
      <c r="D28" s="4">
        <v>33</v>
      </c>
      <c r="E28" s="13">
        <v>2.5000000000000001E-2</v>
      </c>
      <c r="F28" s="13">
        <v>3.4000000000000002E-2</v>
      </c>
      <c r="G28" s="13"/>
      <c r="H28" s="15">
        <v>88</v>
      </c>
      <c r="I28" s="100" t="s">
        <v>231</v>
      </c>
      <c r="J28" s="100"/>
      <c r="K28" s="4" t="s">
        <v>221</v>
      </c>
      <c r="L28" s="20">
        <v>1.52</v>
      </c>
      <c r="M28" s="20">
        <v>1.6</v>
      </c>
      <c r="N28" s="23"/>
      <c r="O28" s="20">
        <f t="shared" si="1"/>
        <v>1.56</v>
      </c>
      <c r="P28" s="21">
        <f t="shared" si="2"/>
        <v>1.58928571428571</v>
      </c>
      <c r="Q28" s="7">
        <f>O28+'[1]11.1'!Q28</f>
        <v>44.5</v>
      </c>
      <c r="R28" s="1">
        <v>28</v>
      </c>
    </row>
    <row r="29" spans="1:18" s="1" customFormat="1" ht="20.100000000000001" customHeight="1">
      <c r="A29" s="100"/>
      <c r="B29" s="4">
        <v>668</v>
      </c>
      <c r="C29" s="4">
        <v>10</v>
      </c>
      <c r="D29" s="4">
        <v>24</v>
      </c>
      <c r="E29" s="13">
        <v>2.7E-2</v>
      </c>
      <c r="F29" s="13">
        <v>2.3E-2</v>
      </c>
      <c r="G29" s="13"/>
      <c r="H29" s="15">
        <v>89</v>
      </c>
      <c r="I29" s="100" t="s">
        <v>233</v>
      </c>
      <c r="J29" s="100"/>
      <c r="K29" s="4" t="s">
        <v>221</v>
      </c>
      <c r="L29" s="20">
        <v>0.28000000000000003</v>
      </c>
      <c r="M29" s="20">
        <v>0.3</v>
      </c>
      <c r="N29" s="23"/>
      <c r="O29" s="20">
        <f t="shared" si="1"/>
        <v>0.28999999999999998</v>
      </c>
      <c r="P29" s="21">
        <f t="shared" si="2"/>
        <v>0.29267857142857101</v>
      </c>
      <c r="Q29" s="7">
        <f>O29+'[1]11.1'!Q29</f>
        <v>8.1950000000000003</v>
      </c>
      <c r="R29" s="1">
        <v>28</v>
      </c>
    </row>
    <row r="30" spans="1:18" s="1" customFormat="1" ht="20.100000000000001" customHeight="1">
      <c r="A30" s="100"/>
      <c r="B30" s="4">
        <v>669</v>
      </c>
      <c r="C30" s="4">
        <v>11</v>
      </c>
      <c r="D30" s="4">
        <v>33</v>
      </c>
      <c r="E30" s="13">
        <v>2.5999999999999999E-2</v>
      </c>
      <c r="F30" s="13">
        <v>2.7E-2</v>
      </c>
      <c r="G30" s="13"/>
      <c r="H30" s="15">
        <v>90</v>
      </c>
      <c r="I30" s="138" t="s">
        <v>235</v>
      </c>
      <c r="J30" s="138"/>
      <c r="K30" s="4" t="s">
        <v>221</v>
      </c>
      <c r="L30" s="20">
        <v>21.41</v>
      </c>
      <c r="M30" s="20">
        <v>22.66</v>
      </c>
      <c r="N30" s="23"/>
      <c r="O30" s="20">
        <f t="shared" si="1"/>
        <v>22.035</v>
      </c>
      <c r="P30" s="21">
        <f t="shared" si="2"/>
        <v>20.8056129032258</v>
      </c>
      <c r="Q30" s="7">
        <f>O30+'[1]11.1'!Q30</f>
        <v>644.97400000000005</v>
      </c>
      <c r="R30" s="1">
        <v>31</v>
      </c>
    </row>
    <row r="31" spans="1:18" s="1" customFormat="1" ht="20.100000000000001" customHeight="1">
      <c r="A31" s="100"/>
      <c r="B31" s="4">
        <v>670</v>
      </c>
      <c r="C31" s="4">
        <v>12</v>
      </c>
      <c r="D31" s="4">
        <v>29</v>
      </c>
      <c r="E31" s="13">
        <v>2.5000000000000001E-2</v>
      </c>
      <c r="F31" s="13">
        <v>2.5000000000000001E-2</v>
      </c>
      <c r="G31" s="13"/>
      <c r="H31" s="15">
        <v>88</v>
      </c>
      <c r="I31" s="138" t="s">
        <v>237</v>
      </c>
      <c r="J31" s="138"/>
      <c r="K31" s="4"/>
      <c r="L31" s="20">
        <v>36</v>
      </c>
      <c r="M31" s="20">
        <v>35.880000000000003</v>
      </c>
      <c r="N31" s="20"/>
      <c r="O31" s="20">
        <f t="shared" si="1"/>
        <v>35.94</v>
      </c>
      <c r="P31" s="21">
        <f t="shared" si="2"/>
        <v>33.512951612903201</v>
      </c>
      <c r="Q31" s="7">
        <f>O31+'[1]11.1'!Q31</f>
        <v>1038.9014999999999</v>
      </c>
      <c r="R31" s="1">
        <v>31</v>
      </c>
    </row>
    <row r="32" spans="1:18" s="1" customFormat="1" ht="20.100000000000001" customHeight="1">
      <c r="A32" s="100"/>
      <c r="B32" s="4">
        <v>671</v>
      </c>
      <c r="C32" s="4">
        <v>13</v>
      </c>
      <c r="D32" s="4">
        <v>32</v>
      </c>
      <c r="E32" s="13">
        <v>2.7E-2</v>
      </c>
      <c r="F32" s="13">
        <v>2.4E-2</v>
      </c>
      <c r="G32" s="13"/>
      <c r="H32" s="15">
        <v>85</v>
      </c>
      <c r="I32" s="103" t="s">
        <v>239</v>
      </c>
      <c r="J32" s="103"/>
      <c r="K32" s="4" t="s">
        <v>221</v>
      </c>
      <c r="L32" s="20">
        <v>0.73</v>
      </c>
      <c r="M32" s="20">
        <v>0.8</v>
      </c>
      <c r="N32" s="20"/>
      <c r="O32" s="20">
        <f t="shared" si="1"/>
        <v>0.76500000000000001</v>
      </c>
      <c r="P32" s="21">
        <f t="shared" si="2"/>
        <v>0.77571428571428602</v>
      </c>
      <c r="Q32" s="7">
        <f>O32+'[1]11.1'!Q32</f>
        <v>21.72</v>
      </c>
      <c r="R32" s="1">
        <v>28</v>
      </c>
    </row>
    <row r="33" spans="1:18" s="1" customFormat="1" ht="20.100000000000001" customHeight="1">
      <c r="A33" s="100"/>
      <c r="B33" s="4">
        <v>672</v>
      </c>
      <c r="C33" s="4">
        <v>17</v>
      </c>
      <c r="D33" s="4">
        <v>24</v>
      </c>
      <c r="E33" s="13">
        <v>2.9000000000000001E-2</v>
      </c>
      <c r="F33" s="13">
        <v>2.7E-2</v>
      </c>
      <c r="G33" s="13"/>
      <c r="H33" s="15">
        <v>87</v>
      </c>
      <c r="I33" s="139" t="s">
        <v>241</v>
      </c>
      <c r="J33" s="139"/>
      <c r="K33" s="4" t="s">
        <v>221</v>
      </c>
      <c r="L33" s="20">
        <v>82.98</v>
      </c>
      <c r="M33" s="20">
        <v>83.19</v>
      </c>
      <c r="N33" s="20"/>
      <c r="O33" s="20">
        <f t="shared" si="1"/>
        <v>83.084999999999994</v>
      </c>
      <c r="P33" s="21">
        <f t="shared" si="2"/>
        <v>80.393177419354799</v>
      </c>
      <c r="Q33" s="7">
        <f>O33+'[1]11.1'!Q33</f>
        <v>2492.1885000000002</v>
      </c>
      <c r="R33" s="1">
        <v>31</v>
      </c>
    </row>
    <row r="34" spans="1:18" s="1" customFormat="1" ht="20.100000000000001" customHeight="1">
      <c r="A34" s="100"/>
      <c r="B34" s="4">
        <v>673</v>
      </c>
      <c r="C34" s="4">
        <v>19</v>
      </c>
      <c r="D34" s="4">
        <v>26</v>
      </c>
      <c r="E34" s="13">
        <v>2.7E-2</v>
      </c>
      <c r="F34" s="13">
        <v>2.3E-2</v>
      </c>
      <c r="G34" s="13"/>
      <c r="H34" s="15">
        <v>89</v>
      </c>
      <c r="I34" s="139" t="s">
        <v>243</v>
      </c>
      <c r="J34" s="139"/>
      <c r="K34" s="4" t="s">
        <v>221</v>
      </c>
      <c r="L34" s="24">
        <v>88.43</v>
      </c>
      <c r="M34" s="24">
        <v>88.35</v>
      </c>
      <c r="N34" s="20"/>
      <c r="O34" s="20">
        <f t="shared" si="1"/>
        <v>88.39</v>
      </c>
      <c r="P34" s="21">
        <f t="shared" si="2"/>
        <v>85.517774193548405</v>
      </c>
      <c r="Q34" s="7">
        <f>O34+'[1]11.1'!Q34</f>
        <v>2651.0509999999999</v>
      </c>
      <c r="R34" s="1">
        <v>31</v>
      </c>
    </row>
    <row r="35" spans="1:18" s="1" customFormat="1" ht="20.100000000000001" customHeight="1">
      <c r="A35" s="100"/>
      <c r="B35" s="4">
        <v>674</v>
      </c>
      <c r="C35" s="4">
        <v>13</v>
      </c>
      <c r="D35" s="4">
        <v>21</v>
      </c>
      <c r="E35" s="13">
        <v>2.5999999999999999E-2</v>
      </c>
      <c r="F35" s="13">
        <v>0.02</v>
      </c>
      <c r="G35" s="13"/>
      <c r="H35" s="15">
        <v>90</v>
      </c>
      <c r="I35" s="139" t="s">
        <v>245</v>
      </c>
      <c r="J35" s="139"/>
      <c r="K35" s="4" t="s">
        <v>221</v>
      </c>
      <c r="L35" s="20">
        <v>89.55</v>
      </c>
      <c r="M35" s="20">
        <v>89.33</v>
      </c>
      <c r="N35" s="20"/>
      <c r="O35" s="20">
        <f t="shared" si="1"/>
        <v>89.44</v>
      </c>
      <c r="P35" s="21">
        <f t="shared" si="2"/>
        <v>89.631799999999998</v>
      </c>
      <c r="Q35" s="7">
        <f>O35+'[1]11.1'!Q35</f>
        <v>2688.9540000000002</v>
      </c>
      <c r="R35" s="1">
        <v>30</v>
      </c>
    </row>
    <row r="36" spans="1:18" s="1" customFormat="1" ht="20.100000000000001" customHeight="1">
      <c r="A36" s="100"/>
      <c r="B36" s="4">
        <v>675</v>
      </c>
      <c r="C36" s="4">
        <v>10</v>
      </c>
      <c r="D36" s="4">
        <v>25</v>
      </c>
      <c r="E36" s="13">
        <v>2.4E-2</v>
      </c>
      <c r="F36" s="13">
        <v>2.1000000000000001E-2</v>
      </c>
      <c r="G36" s="13"/>
      <c r="H36" s="15">
        <v>93</v>
      </c>
      <c r="I36" s="139" t="s">
        <v>247</v>
      </c>
      <c r="J36" s="139"/>
      <c r="K36" s="4" t="s">
        <v>221</v>
      </c>
      <c r="L36" s="20">
        <v>61.92</v>
      </c>
      <c r="M36" s="20">
        <v>61.27</v>
      </c>
      <c r="N36" s="20"/>
      <c r="O36" s="20">
        <f t="shared" si="1"/>
        <v>61.594999999999999</v>
      </c>
      <c r="P36" s="21">
        <f t="shared" si="2"/>
        <v>60.193241935483897</v>
      </c>
      <c r="Q36" s="7">
        <f>O36+'[1]11.1'!Q36</f>
        <v>1865.9905000000001</v>
      </c>
      <c r="R36" s="1">
        <v>31</v>
      </c>
    </row>
    <row r="37" spans="1:18" s="1" customFormat="1" ht="20.100000000000001" customHeight="1">
      <c r="A37" s="100"/>
      <c r="B37" s="4">
        <v>676</v>
      </c>
      <c r="C37" s="4">
        <v>15</v>
      </c>
      <c r="D37" s="4">
        <v>32</v>
      </c>
      <c r="E37" s="13">
        <v>2.7E-2</v>
      </c>
      <c r="F37" s="13">
        <v>2.3E-2</v>
      </c>
      <c r="G37" s="13"/>
      <c r="H37" s="15">
        <v>90</v>
      </c>
      <c r="I37" s="139" t="s">
        <v>249</v>
      </c>
      <c r="J37" s="139"/>
      <c r="K37" s="4" t="s">
        <v>221</v>
      </c>
      <c r="L37" s="20">
        <v>150.78</v>
      </c>
      <c r="M37" s="20">
        <v>135.06</v>
      </c>
      <c r="N37" s="20"/>
      <c r="O37" s="20">
        <f t="shared" si="1"/>
        <v>142.91999999999999</v>
      </c>
      <c r="P37" s="21">
        <f t="shared" si="2"/>
        <v>134.563516129032</v>
      </c>
      <c r="Q37" s="7">
        <f>O37+'[1]11.1'!Q37</f>
        <v>4171.4690000000001</v>
      </c>
      <c r="R37" s="1">
        <v>31</v>
      </c>
    </row>
    <row r="38" spans="1:18" s="1" customFormat="1" ht="20.100000000000001" customHeight="1">
      <c r="A38" s="100"/>
      <c r="B38" s="4">
        <v>677</v>
      </c>
      <c r="C38" s="4">
        <v>19</v>
      </c>
      <c r="D38" s="4">
        <v>26</v>
      </c>
      <c r="E38" s="6">
        <v>2.5000000000000001E-2</v>
      </c>
      <c r="F38" s="6">
        <v>2.1000000000000001E-2</v>
      </c>
      <c r="G38" s="13"/>
      <c r="H38" s="15">
        <v>89</v>
      </c>
      <c r="I38" s="139" t="s">
        <v>251</v>
      </c>
      <c r="J38" s="139"/>
      <c r="K38" s="4" t="s">
        <v>221</v>
      </c>
      <c r="L38" s="20">
        <v>57.54</v>
      </c>
      <c r="M38" s="20">
        <v>57.77</v>
      </c>
      <c r="N38" s="20"/>
      <c r="O38" s="20">
        <f t="shared" si="1"/>
        <v>57.655000000000001</v>
      </c>
      <c r="P38" s="21">
        <f t="shared" si="2"/>
        <v>57.888653846153801</v>
      </c>
      <c r="Q38" s="7">
        <f>O38+'[1]11.1'!Q38</f>
        <v>1505.105</v>
      </c>
      <c r="R38" s="1">
        <v>26</v>
      </c>
    </row>
    <row r="39" spans="1:18" s="1" customFormat="1" ht="20.100000000000001" customHeight="1">
      <c r="A39" s="100"/>
      <c r="B39" s="4">
        <v>678</v>
      </c>
      <c r="C39" s="4">
        <v>16</v>
      </c>
      <c r="D39" s="4">
        <v>30</v>
      </c>
      <c r="E39" s="6">
        <v>2.7E-2</v>
      </c>
      <c r="F39" s="6">
        <v>1.9E-2</v>
      </c>
      <c r="G39" s="13"/>
      <c r="H39" s="15">
        <v>89</v>
      </c>
      <c r="I39" s="139" t="s">
        <v>253</v>
      </c>
      <c r="J39" s="139"/>
      <c r="K39" s="4" t="s">
        <v>221</v>
      </c>
      <c r="L39" s="20">
        <v>46.52</v>
      </c>
      <c r="M39" s="20">
        <v>46.56</v>
      </c>
      <c r="N39" s="20"/>
      <c r="O39" s="20">
        <f t="shared" si="1"/>
        <v>46.54</v>
      </c>
      <c r="P39" s="21">
        <f t="shared" si="2"/>
        <v>46.476730769230798</v>
      </c>
      <c r="Q39" s="7">
        <f>O39+'[1]11.1'!Q39</f>
        <v>1208.395</v>
      </c>
      <c r="R39" s="1">
        <v>26</v>
      </c>
    </row>
    <row r="40" spans="1:18" s="1" customFormat="1" ht="20.100000000000001" customHeight="1">
      <c r="A40" s="100"/>
      <c r="B40" s="4">
        <v>679</v>
      </c>
      <c r="C40" s="4">
        <v>14</v>
      </c>
      <c r="D40" s="4">
        <v>35</v>
      </c>
      <c r="E40" s="6">
        <v>2.4E-2</v>
      </c>
      <c r="F40" s="6">
        <v>1.7999999999999999E-2</v>
      </c>
      <c r="G40" s="4"/>
      <c r="H40" s="15">
        <v>90</v>
      </c>
      <c r="I40" s="139" t="s">
        <v>255</v>
      </c>
      <c r="J40" s="139"/>
      <c r="K40" s="4" t="s">
        <v>221</v>
      </c>
      <c r="L40" s="20">
        <v>80.66</v>
      </c>
      <c r="M40" s="20">
        <v>80</v>
      </c>
      <c r="N40" s="20"/>
      <c r="O40" s="20">
        <f t="shared" si="1"/>
        <v>80.33</v>
      </c>
      <c r="P40" s="21">
        <f t="shared" si="2"/>
        <v>79.977500000000006</v>
      </c>
      <c r="Q40" s="7">
        <f>O40+'[1]11.1'!Q40</f>
        <v>2079.415</v>
      </c>
      <c r="R40" s="1">
        <v>26</v>
      </c>
    </row>
    <row r="41" spans="1:18" s="1" customFormat="1" ht="20.100000000000001" customHeight="1">
      <c r="A41" s="100"/>
      <c r="B41" s="4">
        <v>680</v>
      </c>
      <c r="C41" s="4">
        <v>17</v>
      </c>
      <c r="D41" s="4">
        <v>28</v>
      </c>
      <c r="E41" s="6">
        <v>2.7E-2</v>
      </c>
      <c r="F41" s="6">
        <v>1.9E-2</v>
      </c>
      <c r="G41" s="4"/>
      <c r="H41" s="15">
        <v>88</v>
      </c>
      <c r="I41" s="100"/>
      <c r="J41" s="100"/>
      <c r="K41" s="100"/>
      <c r="L41" s="100"/>
      <c r="M41" s="100"/>
      <c r="N41" s="100"/>
      <c r="O41" s="100"/>
      <c r="P41" s="100"/>
      <c r="Q41" s="7"/>
    </row>
    <row r="42" spans="1:18" s="1" customFormat="1" ht="20.100000000000001" customHeight="1">
      <c r="A42" s="100"/>
      <c r="B42" s="4">
        <v>681</v>
      </c>
      <c r="C42" s="4">
        <v>17</v>
      </c>
      <c r="D42" s="4">
        <v>33</v>
      </c>
      <c r="E42" s="6">
        <v>2.5000000000000001E-2</v>
      </c>
      <c r="F42" s="6">
        <v>2.1000000000000001E-2</v>
      </c>
      <c r="G42" s="4"/>
      <c r="H42" s="4">
        <v>90</v>
      </c>
      <c r="I42" s="100"/>
      <c r="J42" s="100"/>
      <c r="K42" s="100"/>
      <c r="L42" s="100"/>
      <c r="M42" s="100"/>
      <c r="N42" s="100"/>
      <c r="O42" s="100"/>
      <c r="P42" s="100"/>
    </row>
    <row r="43" spans="1:18" s="1" customFormat="1" ht="20.100000000000001" customHeight="1">
      <c r="A43" s="100"/>
      <c r="B43" s="4">
        <v>682</v>
      </c>
      <c r="C43" s="4">
        <v>10</v>
      </c>
      <c r="D43" s="4">
        <v>38</v>
      </c>
      <c r="E43" s="6">
        <v>2.8000000000000001E-2</v>
      </c>
      <c r="F43" s="6">
        <v>1.6E-2</v>
      </c>
      <c r="G43" s="4"/>
      <c r="H43" s="4">
        <v>83</v>
      </c>
      <c r="I43" s="100"/>
      <c r="J43" s="100"/>
      <c r="K43" s="100"/>
      <c r="L43" s="100"/>
      <c r="M43" s="100"/>
      <c r="N43" s="100"/>
      <c r="O43" s="100"/>
      <c r="P43" s="100"/>
    </row>
    <row r="44" spans="1:18" s="1" customFormat="1" ht="20.100000000000001" customHeight="1">
      <c r="A44" s="100"/>
      <c r="B44" s="4">
        <v>683</v>
      </c>
      <c r="C44" s="4">
        <v>10</v>
      </c>
      <c r="D44" s="4">
        <v>43</v>
      </c>
      <c r="E44" s="4">
        <v>2.7E-2</v>
      </c>
      <c r="F44" s="13">
        <v>2.1000000000000001E-2</v>
      </c>
      <c r="G44" s="4"/>
      <c r="H44" s="4">
        <v>85</v>
      </c>
      <c r="I44" s="100"/>
      <c r="J44" s="100"/>
      <c r="K44" s="100"/>
      <c r="L44" s="100"/>
      <c r="M44" s="100"/>
      <c r="N44" s="100"/>
      <c r="O44" s="100"/>
      <c r="P44" s="100"/>
    </row>
    <row r="45" spans="1:18" s="1" customFormat="1" ht="20.100000000000001" customHeight="1">
      <c r="A45" s="100"/>
      <c r="B45" s="4">
        <v>684</v>
      </c>
      <c r="C45" s="4">
        <v>10</v>
      </c>
      <c r="D45" s="4">
        <v>42</v>
      </c>
      <c r="E45" s="4">
        <v>2.5999999999999999E-2</v>
      </c>
      <c r="F45" s="4">
        <v>1.6E-2</v>
      </c>
      <c r="G45" s="4"/>
      <c r="H45" s="4">
        <v>88</v>
      </c>
      <c r="I45" s="100"/>
      <c r="J45" s="100"/>
      <c r="K45" s="100"/>
      <c r="L45" s="100"/>
      <c r="M45" s="100"/>
      <c r="N45" s="100"/>
      <c r="O45" s="100"/>
      <c r="P45" s="100"/>
    </row>
    <row r="46" spans="1:18" s="1" customFormat="1" ht="20.100000000000001" customHeight="1">
      <c r="A46" s="100"/>
      <c r="B46" s="4">
        <v>685</v>
      </c>
      <c r="C46" s="4">
        <v>11</v>
      </c>
      <c r="D46" s="4">
        <v>37</v>
      </c>
      <c r="E46" s="13">
        <v>2.5999999999999999E-2</v>
      </c>
      <c r="F46" s="13">
        <v>0.02</v>
      </c>
      <c r="G46" s="4"/>
      <c r="H46" s="4">
        <v>87</v>
      </c>
      <c r="I46" s="100"/>
      <c r="J46" s="100"/>
      <c r="K46" s="100"/>
      <c r="L46" s="100"/>
      <c r="M46" s="100"/>
      <c r="N46" s="100"/>
      <c r="O46" s="100"/>
      <c r="P46" s="100"/>
    </row>
    <row r="47" spans="1:18" s="1" customFormat="1" ht="24.95" customHeight="1">
      <c r="A47" s="100"/>
      <c r="B47" s="4">
        <v>686</v>
      </c>
      <c r="C47" s="4">
        <v>10</v>
      </c>
      <c r="D47" s="4">
        <v>41</v>
      </c>
      <c r="E47" s="4">
        <v>2.4E-2</v>
      </c>
      <c r="F47" s="13">
        <v>1.6E-2</v>
      </c>
      <c r="G47" s="4"/>
      <c r="H47" s="4">
        <v>89</v>
      </c>
      <c r="I47" s="100"/>
      <c r="J47" s="100"/>
      <c r="K47" s="100"/>
      <c r="L47" s="100"/>
      <c r="M47" s="100"/>
      <c r="N47" s="100"/>
      <c r="O47" s="100"/>
      <c r="P47" s="100"/>
    </row>
    <row r="48" spans="1:18" s="1" customFormat="1" ht="24.95" customHeight="1">
      <c r="A48" s="100"/>
      <c r="B48" s="4"/>
      <c r="C48" s="4"/>
      <c r="D48" s="4"/>
      <c r="E48" s="13"/>
      <c r="F48" s="13"/>
      <c r="G48" s="4"/>
      <c r="H48" s="4"/>
      <c r="I48" s="100"/>
      <c r="J48" s="100"/>
      <c r="K48" s="100"/>
      <c r="L48" s="100"/>
      <c r="M48" s="100"/>
      <c r="N48" s="100"/>
      <c r="O48" s="100"/>
      <c r="P48" s="100"/>
    </row>
    <row r="49" spans="1:16" s="1" customFormat="1" ht="24.95" customHeight="1">
      <c r="A49" s="100"/>
      <c r="B49" s="4"/>
      <c r="C49" s="4"/>
      <c r="D49" s="4"/>
      <c r="E49" s="13"/>
      <c r="F49" s="13"/>
      <c r="G49" s="4"/>
      <c r="H49" s="4"/>
      <c r="I49" s="100"/>
      <c r="J49" s="100"/>
      <c r="K49" s="100"/>
      <c r="L49" s="100"/>
      <c r="M49" s="100"/>
      <c r="N49" s="100"/>
      <c r="O49" s="100"/>
      <c r="P49" s="100"/>
    </row>
    <row r="50" spans="1:16" s="1" customFormat="1" ht="24.95" customHeight="1">
      <c r="A50" s="100"/>
      <c r="B50" s="4"/>
      <c r="C50" s="4"/>
      <c r="D50" s="4"/>
      <c r="E50" s="4"/>
      <c r="F50" s="13"/>
      <c r="G50" s="4"/>
      <c r="H50" s="4"/>
      <c r="I50" s="100"/>
      <c r="J50" s="100"/>
      <c r="K50" s="100"/>
      <c r="L50" s="100"/>
      <c r="M50" s="100"/>
      <c r="N50" s="100"/>
      <c r="O50" s="100"/>
      <c r="P50" s="100"/>
    </row>
    <row r="51" spans="1:16" s="1" customFormat="1" ht="24.95" customHeight="1">
      <c r="A51" s="100"/>
      <c r="B51" s="4"/>
      <c r="C51" s="4"/>
      <c r="D51" s="4"/>
      <c r="E51" s="4"/>
      <c r="F51" s="13"/>
      <c r="G51" s="4"/>
      <c r="H51" s="4"/>
      <c r="I51" s="100"/>
      <c r="J51" s="100"/>
      <c r="K51" s="100"/>
      <c r="L51" s="100"/>
      <c r="M51" s="100"/>
      <c r="N51" s="100"/>
      <c r="O51" s="100"/>
      <c r="P51" s="100"/>
    </row>
    <row r="52" spans="1:16" s="1" customFormat="1" ht="24.95" customHeight="1">
      <c r="A52" s="100"/>
      <c r="B52" s="4"/>
      <c r="C52" s="4"/>
      <c r="D52" s="4"/>
      <c r="E52" s="4"/>
      <c r="F52" s="13"/>
      <c r="G52" s="4"/>
      <c r="H52" s="4"/>
      <c r="I52" s="100"/>
      <c r="J52" s="100"/>
      <c r="K52" s="100"/>
      <c r="L52" s="100"/>
      <c r="M52" s="100"/>
      <c r="N52" s="100"/>
      <c r="O52" s="100"/>
      <c r="P52" s="100"/>
    </row>
    <row r="53" spans="1:16" s="2" customFormat="1" ht="24.95" customHeight="1">
      <c r="A53" s="100"/>
      <c r="B53" s="4"/>
      <c r="C53" s="4"/>
      <c r="D53" s="4"/>
      <c r="E53" s="4"/>
      <c r="F53" s="13"/>
      <c r="G53" s="4"/>
      <c r="H53" s="4"/>
      <c r="I53" s="100"/>
      <c r="J53" s="100"/>
      <c r="K53" s="100"/>
      <c r="L53" s="100"/>
      <c r="M53" s="100"/>
      <c r="N53" s="100"/>
      <c r="O53" s="100"/>
      <c r="P53" s="100"/>
    </row>
    <row r="54" spans="1:16" s="1" customFormat="1" ht="24.95" customHeight="1">
      <c r="A54" s="93" t="s">
        <v>257</v>
      </c>
      <c r="B54" s="94"/>
      <c r="C54" s="94"/>
      <c r="D54" s="94"/>
      <c r="E54" s="95"/>
      <c r="F54" s="95"/>
      <c r="G54" s="95"/>
      <c r="H54" s="25"/>
      <c r="I54" s="26" t="s">
        <v>258</v>
      </c>
      <c r="J54" s="26"/>
      <c r="K54" s="26"/>
      <c r="L54" s="26"/>
      <c r="M54" s="26"/>
      <c r="N54" s="26"/>
      <c r="O54" s="26"/>
      <c r="P54" s="27"/>
    </row>
  </sheetData>
  <mergeCells count="109">
    <mergeCell ref="I38:J38"/>
    <mergeCell ref="I39:J39"/>
    <mergeCell ref="I40:J40"/>
    <mergeCell ref="A54:D54"/>
    <mergeCell ref="E54:G54"/>
    <mergeCell ref="A4:A6"/>
    <mergeCell ref="A7:A10"/>
    <mergeCell ref="A25:A53"/>
    <mergeCell ref="I41:P53"/>
    <mergeCell ref="I29:J29"/>
    <mergeCell ref="I30:J30"/>
    <mergeCell ref="I31:J31"/>
    <mergeCell ref="I32:J32"/>
    <mergeCell ref="I33:J33"/>
    <mergeCell ref="I34:J34"/>
    <mergeCell ref="I35:J35"/>
    <mergeCell ref="I36:J36"/>
    <mergeCell ref="I37:J37"/>
    <mergeCell ref="A23:D23"/>
    <mergeCell ref="F23:G23"/>
    <mergeCell ref="H23:J23"/>
    <mergeCell ref="O23:P23"/>
    <mergeCell ref="I24:J24"/>
    <mergeCell ref="I25:J25"/>
    <mergeCell ref="I26:J26"/>
    <mergeCell ref="I27:J27"/>
    <mergeCell ref="I28:J28"/>
    <mergeCell ref="A20:D20"/>
    <mergeCell ref="F20:G20"/>
    <mergeCell ref="H20:J20"/>
    <mergeCell ref="O20:P20"/>
    <mergeCell ref="A21:D21"/>
    <mergeCell ref="F21:G21"/>
    <mergeCell ref="H21:J21"/>
    <mergeCell ref="O21:P21"/>
    <mergeCell ref="A22:D22"/>
    <mergeCell ref="F22:G22"/>
    <mergeCell ref="H22:J22"/>
    <mergeCell ref="O22:P22"/>
    <mergeCell ref="A17:D17"/>
    <mergeCell ref="F17:G17"/>
    <mergeCell ref="H17:J17"/>
    <mergeCell ref="O17:P17"/>
    <mergeCell ref="A18:D18"/>
    <mergeCell ref="F18:G18"/>
    <mergeCell ref="H18:J18"/>
    <mergeCell ref="O18:P18"/>
    <mergeCell ref="A19:D19"/>
    <mergeCell ref="F19:G19"/>
    <mergeCell ref="H19:J19"/>
    <mergeCell ref="O19:P19"/>
    <mergeCell ref="A14:D14"/>
    <mergeCell ref="F14:G14"/>
    <mergeCell ref="H14:J14"/>
    <mergeCell ref="O14:P14"/>
    <mergeCell ref="A15:D15"/>
    <mergeCell ref="F15:G15"/>
    <mergeCell ref="H15:J15"/>
    <mergeCell ref="O15:P15"/>
    <mergeCell ref="A16:D16"/>
    <mergeCell ref="F16:G16"/>
    <mergeCell ref="H16:J16"/>
    <mergeCell ref="O16:P16"/>
    <mergeCell ref="A11:D11"/>
    <mergeCell ref="F11:G11"/>
    <mergeCell ref="H11:J11"/>
    <mergeCell ref="O11:P11"/>
    <mergeCell ref="A12:D12"/>
    <mergeCell ref="F12:G12"/>
    <mergeCell ref="H12:J12"/>
    <mergeCell ref="O12:P12"/>
    <mergeCell ref="A13:D13"/>
    <mergeCell ref="F13:G13"/>
    <mergeCell ref="H13:J13"/>
    <mergeCell ref="O13:P13"/>
    <mergeCell ref="B8:D8"/>
    <mergeCell ref="F8:G8"/>
    <mergeCell ref="H8:J8"/>
    <mergeCell ref="O8:P8"/>
    <mergeCell ref="B9:D9"/>
    <mergeCell ref="O9:P9"/>
    <mergeCell ref="B10:D10"/>
    <mergeCell ref="F10:G10"/>
    <mergeCell ref="H10:J10"/>
    <mergeCell ref="O10:P10"/>
    <mergeCell ref="B5:D5"/>
    <mergeCell ref="F5:G5"/>
    <mergeCell ref="H5:J5"/>
    <mergeCell ref="O5:P5"/>
    <mergeCell ref="B6:D6"/>
    <mergeCell ref="F6:G6"/>
    <mergeCell ref="H6:J6"/>
    <mergeCell ref="O6:P6"/>
    <mergeCell ref="B7:D7"/>
    <mergeCell ref="F7:G7"/>
    <mergeCell ref="H7:J7"/>
    <mergeCell ref="O7:P7"/>
    <mergeCell ref="A1:P1"/>
    <mergeCell ref="A2:I2"/>
    <mergeCell ref="J2:L2"/>
    <mergeCell ref="M2:P2"/>
    <mergeCell ref="A3:D3"/>
    <mergeCell ref="F3:G3"/>
    <mergeCell ref="H3:J3"/>
    <mergeCell ref="O3:P3"/>
    <mergeCell ref="B4:D4"/>
    <mergeCell ref="F4:G4"/>
    <mergeCell ref="H4:J4"/>
    <mergeCell ref="O4:P4"/>
  </mergeCells>
  <phoneticPr fontId="6" type="noConversion"/>
  <pageMargins left="0.75" right="0.75" top="1" bottom="1" header="0.5" footer="0.5"/>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原文件</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miaomiao</dc:creator>
  <cp:lastModifiedBy>1501</cp:lastModifiedBy>
  <dcterms:created xsi:type="dcterms:W3CDTF">2025-11-08T08:37:00Z</dcterms:created>
  <dcterms:modified xsi:type="dcterms:W3CDTF">2025-11-25T05:14:06Z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D72E46B258393E1A46BB0969D76F36A2_41</vt:lpwstr>
  </property>
  <property fmtid="{D5CDD505-2E9C-101B-9397-08002B2CF9AE}" pid="3" name="KSOProductBuildVer">
    <vt:lpwstr>2052-12.1.23540.23540</vt:lpwstr>
  </property>
</Properties>
</file>