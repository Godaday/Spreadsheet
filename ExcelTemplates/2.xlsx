
<file path=[Content_Types].xml><?xml version="1.0" encoding="utf-8"?>
<Types xmlns="http://schemas.openxmlformats.org/package/2006/content-type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F:\Codes\WebExcel\Spreadsheet\ExcelTemplates\"/>
    </mc:Choice>
  </mc:AlternateContent>
  <bookViews>
    <workbookView xWindow="0" yWindow="0" windowWidth="29100" windowHeight="14565"/>
  </bookViews>
  <sheets>
    <sheet name="Sheet1" sheetId="36" r:id="rId1"/>
    <sheet name="原文件" sheetId="35"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1" i="35" l="1"/>
  <c r="H31" i="35"/>
  <c r="G31" i="35"/>
  <c r="F31" i="35"/>
  <c r="I30" i="35"/>
  <c r="H30" i="35"/>
  <c r="G30" i="35"/>
  <c r="F30" i="35"/>
  <c r="I29" i="35"/>
  <c r="H29" i="35"/>
  <c r="G29" i="35"/>
  <c r="F29" i="35"/>
  <c r="I28" i="35"/>
  <c r="H28" i="35"/>
  <c r="G28" i="35"/>
  <c r="F28" i="35"/>
  <c r="I27" i="35"/>
  <c r="H27" i="35"/>
  <c r="G27" i="35"/>
  <c r="F27" i="35"/>
  <c r="I26" i="35"/>
  <c r="H26" i="35"/>
  <c r="G26" i="35"/>
  <c r="F26" i="35"/>
  <c r="I25" i="35"/>
  <c r="H25" i="35"/>
  <c r="G25" i="35"/>
  <c r="F25" i="35"/>
  <c r="I24" i="35"/>
  <c r="H24" i="35"/>
  <c r="G24" i="35"/>
  <c r="F24" i="35"/>
  <c r="I23" i="35"/>
  <c r="H23" i="35"/>
  <c r="G23" i="35"/>
  <c r="F23" i="35"/>
  <c r="I22" i="35"/>
  <c r="H22" i="35"/>
  <c r="G22" i="35"/>
  <c r="F22" i="35"/>
  <c r="M21" i="35"/>
  <c r="L21" i="35"/>
  <c r="K21" i="35"/>
  <c r="J21" i="35"/>
  <c r="I21" i="35"/>
  <c r="H21" i="35"/>
  <c r="G21" i="35"/>
  <c r="F21" i="35"/>
  <c r="M20" i="35"/>
  <c r="L20" i="35"/>
  <c r="K20" i="35"/>
  <c r="J20" i="35"/>
  <c r="I20" i="35"/>
  <c r="H20" i="35"/>
  <c r="G20" i="35"/>
  <c r="F20" i="35"/>
  <c r="I19" i="35"/>
  <c r="H19" i="35"/>
  <c r="G19" i="35"/>
  <c r="F19" i="35"/>
  <c r="I18" i="35"/>
  <c r="H18" i="35"/>
  <c r="G18" i="35"/>
  <c r="F18" i="35"/>
  <c r="I17" i="35"/>
  <c r="H17" i="35"/>
  <c r="G17" i="35"/>
  <c r="F17" i="35"/>
  <c r="I16" i="35"/>
  <c r="H16" i="35"/>
  <c r="G16" i="35"/>
  <c r="F16" i="35"/>
  <c r="I15" i="35"/>
  <c r="H15" i="35"/>
  <c r="G15" i="35"/>
  <c r="F15" i="35"/>
  <c r="I14" i="35"/>
  <c r="H14" i="35"/>
  <c r="G14" i="35"/>
  <c r="F14" i="35"/>
  <c r="I13" i="35"/>
  <c r="H13" i="35"/>
  <c r="G13" i="35"/>
  <c r="F13" i="35"/>
  <c r="I12" i="35"/>
  <c r="H12" i="35"/>
  <c r="G12" i="35"/>
  <c r="F12" i="35"/>
  <c r="M11" i="35"/>
  <c r="L11" i="35"/>
  <c r="K11" i="35"/>
  <c r="J11" i="35"/>
  <c r="I11" i="35"/>
  <c r="H11" i="35"/>
  <c r="G11" i="35"/>
  <c r="F11" i="35"/>
  <c r="M10" i="35"/>
  <c r="L10" i="35"/>
  <c r="K10" i="35"/>
  <c r="J10" i="35"/>
  <c r="I10" i="35"/>
  <c r="H10" i="35"/>
  <c r="G10" i="35"/>
  <c r="F10" i="35"/>
  <c r="I9" i="35"/>
  <c r="H9" i="35"/>
  <c r="G9" i="35"/>
  <c r="F9" i="35"/>
  <c r="I8" i="35"/>
  <c r="H8" i="35"/>
  <c r="G8" i="35"/>
  <c r="F8" i="35"/>
  <c r="E8" i="35"/>
  <c r="D8" i="35"/>
  <c r="I7" i="35"/>
  <c r="H7" i="35"/>
  <c r="G7" i="35"/>
  <c r="F7" i="35"/>
  <c r="I6" i="35"/>
  <c r="H6" i="35"/>
  <c r="G6" i="35"/>
  <c r="F6" i="35"/>
  <c r="I5" i="35"/>
  <c r="H5" i="35"/>
  <c r="G5" i="35"/>
  <c r="F5" i="35"/>
  <c r="I4" i="35"/>
  <c r="H4" i="35"/>
  <c r="G4" i="35"/>
  <c r="F4" i="35"/>
</calcChain>
</file>

<file path=xl/sharedStrings.xml><?xml version="1.0" encoding="utf-8"?>
<sst xmlns="http://schemas.openxmlformats.org/spreadsheetml/2006/main" count="348" uniqueCount="202">
  <si>
    <t>界面数据保存两位，四舍五入</t>
  </si>
  <si>
    <t>动力车间生产日报</t>
  </si>
  <si>
    <t xml:space="preserve">第35生产期   </t>
  </si>
  <si>
    <t>第33天</t>
  </si>
  <si>
    <t>第35期代表第35产季；第31天，这一产季从第一天开始开始计算生产的第多少天。也就是第31批</t>
  </si>
  <si>
    <t>项   目</t>
  </si>
  <si>
    <t>单位</t>
  </si>
  <si>
    <t>乙班</t>
  </si>
  <si>
    <t>甲班</t>
  </si>
  <si>
    <t>丙班</t>
  </si>
  <si>
    <t>日计</t>
  </si>
  <si>
    <t>旬计</t>
  </si>
  <si>
    <t>月计</t>
  </si>
  <si>
    <t>新宁累计</t>
  </si>
  <si>
    <t>昭苏累计</t>
  </si>
  <si>
    <t>新宁+昭苏累计</t>
  </si>
  <si>
    <t>班组需要看当天上报数据有几个班组，现在是两个班组</t>
  </si>
  <si>
    <t>电
力</t>
  </si>
  <si>
    <t>发电量</t>
  </si>
  <si>
    <t>度</t>
  </si>
  <si>
    <t>人工填报</t>
  </si>
  <si>
    <t>甲班发电量+乙班发电量+丙班发电量</t>
  </si>
  <si>
    <t>发电量日计按当旬累计求和
（逢9算旬:例如每月10日-19日，20日-29日，30-9日）</t>
  </si>
  <si>
    <t>发电量日计按当财务月累计求和
（财务月每月28，包含28，例如10.29-11.28）</t>
  </si>
  <si>
    <t>属于新宁工厂的发电量日计从当期产季第一天开始累计求和</t>
  </si>
  <si>
    <t>属于昭苏工厂的发电量日计从当期产季第一天开始累计求和</t>
  </si>
  <si>
    <t>发电量日计从当期产季第一天开始累计求和</t>
  </si>
  <si>
    <t>锅
炉</t>
  </si>
  <si>
    <t>总耗煤量</t>
  </si>
  <si>
    <t>吨</t>
  </si>
  <si>
    <t>甲班总耗煤量+乙班总耗煤量+丙班总耗煤量</t>
  </si>
  <si>
    <t>总耗煤量日计按当旬累计求和</t>
  </si>
  <si>
    <t>总耗煤量日计按财务月累计求和</t>
  </si>
  <si>
    <t>属于新宁工厂的总耗煤量日计从当期产季第一天开始累计求和</t>
  </si>
  <si>
    <t>属于昭苏工厂的总耗煤量日计从当期产季第一天开始累计求和</t>
  </si>
  <si>
    <t>总耗煤量日计从当期产季第一天开始累计求和</t>
  </si>
  <si>
    <t>总产汽量</t>
  </si>
  <si>
    <t>甲班总产汽量+乙班总产汽量+丙班总产汽量</t>
  </si>
  <si>
    <t>总产汽量日计按当旬累计求和</t>
  </si>
  <si>
    <t>总产汽量日计按财务月累计求和</t>
  </si>
  <si>
    <t>属于新宁工厂的总产汽量日计从当期产季第一天开始累计求和</t>
  </si>
  <si>
    <t>属于昭苏工厂的总产汽量日计从当期产季第一天开始累计求和</t>
  </si>
  <si>
    <t>总产汽量日计从当期产季第一天开始累计求和</t>
  </si>
  <si>
    <t>标煤</t>
  </si>
  <si>
    <t>%</t>
  </si>
  <si>
    <t>乙班总耗煤量*0.68</t>
  </si>
  <si>
    <t>甲班总耗煤量*0.68</t>
  </si>
  <si>
    <t>丙班总耗煤量*0.68</t>
  </si>
  <si>
    <t>甲班标煤+乙班标煤+丙班标煤</t>
  </si>
  <si>
    <t>标煤日计按当旬累计求和</t>
  </si>
  <si>
    <t>标煤日计按财务月累计求和</t>
  </si>
  <si>
    <t>属于新宁工厂的标煤日计从当期产季第一天开始累计求和</t>
  </si>
  <si>
    <t>属于昭苏工厂的标煤日计从当期产季第一天开始累计求和</t>
  </si>
  <si>
    <t>标煤日计从当期产季第一天开始累计求和</t>
  </si>
  <si>
    <t>水化</t>
  </si>
  <si>
    <t>工业盐</t>
  </si>
  <si>
    <t>公斤</t>
  </si>
  <si>
    <t>甲班工业盐+乙班工业盐+丙班工业盐</t>
  </si>
  <si>
    <t>工业盐日计按当旬累计求和</t>
  </si>
  <si>
    <t>工业盐日计按财务月累计求和</t>
  </si>
  <si>
    <t>属于新宁工厂的工业盐日计从当期产季第一天开始累计求和</t>
  </si>
  <si>
    <t>属于昭苏工厂的工业盐日计从当期产季第一天开始累计求和</t>
  </si>
  <si>
    <t>工业盐日计从当期产季第一天开始累计求和</t>
  </si>
  <si>
    <t>配
电
供
电</t>
  </si>
  <si>
    <t>电站用电</t>
  </si>
  <si>
    <t>甲班电站用电+乙班电站用电+丙班电站用电</t>
  </si>
  <si>
    <t>电站用电日计按当旬累计求和</t>
  </si>
  <si>
    <t>电站用电日计按财务月累计求和</t>
  </si>
  <si>
    <t>属于新宁工厂的电站用电日计从当期产季第一天开始累计求和</t>
  </si>
  <si>
    <t>属于昭苏工厂的电站用电日计从当期产季第一天开始累计求和</t>
  </si>
  <si>
    <t>电站用电日计从当期产季第一天开始累计求和</t>
  </si>
  <si>
    <t>制糖用电</t>
  </si>
  <si>
    <t>甲班制糖用电+乙班制糖用电+丙班制糖用电</t>
  </si>
  <si>
    <t>制糖用电日计按当旬累计求和</t>
  </si>
  <si>
    <t>制糖用电日计按财务月累计求和</t>
  </si>
  <si>
    <t>属于新宁工厂的制糖用电日计从当期产季第一天开始累计求和</t>
  </si>
  <si>
    <t>属于昭苏工厂的制糖用电日计从当期产季第一天开始累计求和</t>
  </si>
  <si>
    <t>制糖用电日计从当期产季第一天开始累计求和</t>
  </si>
  <si>
    <t>供水用电</t>
  </si>
  <si>
    <t>甲班供水用电+乙班供水用电+丙班供水用电</t>
  </si>
  <si>
    <t>供水用电日计按当旬累计求和</t>
  </si>
  <si>
    <t>供水用电日计按财务月累计求和</t>
  </si>
  <si>
    <t>属于新宁工厂的供水用电日计从当期产季第一天开始累计求和</t>
  </si>
  <si>
    <t>属于昭苏工厂的供水用电日计从当期产季第一天开始累计求和</t>
  </si>
  <si>
    <t>供水用电日计从当期产季第一天开始累计求和</t>
  </si>
  <si>
    <t>环保用电</t>
  </si>
  <si>
    <t>甲班环保用电+乙班环保用电+丙班环保用电</t>
  </si>
  <si>
    <t>环保用电日计按当旬累计求和</t>
  </si>
  <si>
    <t>环保用电日计按财务月累计求和</t>
  </si>
  <si>
    <t>属于新宁工厂的环保用电日计从当期产季第一天开始按当旬累计求和</t>
  </si>
  <si>
    <t>属于昭苏工厂的环保用电日计从当期产季第一天开始按当旬累计求和</t>
  </si>
  <si>
    <t>环保用电日计从当期产季第一天开始按当旬累计求和</t>
  </si>
  <si>
    <t>颗粒粕用电</t>
  </si>
  <si>
    <t>甲班颗粒粕用电+乙班颗粒粕用电+丙班颗粒粕用电</t>
  </si>
  <si>
    <t>颗粒粕用电日计按当旬累计求和</t>
  </si>
  <si>
    <t>颗粒粕用电日计按财务月累计求和</t>
  </si>
  <si>
    <t>属于新宁工厂的颗粒粕用电日计从当期产季第一天开始累计求和</t>
  </si>
  <si>
    <t>属于昭苏工厂的颗粒粕用电日计从当期产季第一天开始累计求和</t>
  </si>
  <si>
    <t>颗粒粕用电日计从当期产季第一天开始累计求和</t>
  </si>
  <si>
    <t>供
热</t>
  </si>
  <si>
    <t>发电用热</t>
  </si>
  <si>
    <t>甲班发电用热+乙班发电用热+丙班发电用热</t>
  </si>
  <si>
    <t>发电用热日计按当旬累计求和</t>
  </si>
  <si>
    <t>发电用热日计按财务月累计求和</t>
  </si>
  <si>
    <t>属于新宁工厂的发电用热日计从当期产季第一天开始累计求和</t>
  </si>
  <si>
    <t>属于昭苏工厂的发电用热日计从当期产季第一天开始累计求和</t>
  </si>
  <si>
    <t>发电用热日计从当期产季第一天开始累计求和</t>
  </si>
  <si>
    <t>制糖用热</t>
  </si>
  <si>
    <t>甲班制糖用热+乙班制糖用热+丙班制糖用热</t>
  </si>
  <si>
    <t>制糖用热日计按当旬累计求和</t>
  </si>
  <si>
    <t>制糖用热日计按财务月累计求和</t>
  </si>
  <si>
    <t>属于新宁工厂的制糖用热日计从当期产季第一天开始累计求和</t>
  </si>
  <si>
    <t>属于昭苏工厂的制糖用热日计从当期产季第一天开始累计求和</t>
  </si>
  <si>
    <t>制糖用热日计从当期产季第一天开始累计求和</t>
  </si>
  <si>
    <t>饲料车间</t>
  </si>
  <si>
    <t>甲班饲料车间+乙班饲料车间+丙班饲料车间</t>
  </si>
  <si>
    <t>饲料车间日计按当旬累计求和</t>
  </si>
  <si>
    <t>饲料车间日计按财务月累计求和</t>
  </si>
  <si>
    <t>属于新宁工厂的饲料车间日计从当期产季第一天开始累计求和</t>
  </si>
  <si>
    <t>属于昭苏工厂的饲料车间日计从当期产季第一天开始累计求和</t>
  </si>
  <si>
    <t>饲料车间日计从当期产季第一天开始累计求和</t>
  </si>
  <si>
    <t>生活区用热</t>
  </si>
  <si>
    <t>甲班生活区用热+乙班生活区用热+丙班生活区用热</t>
  </si>
  <si>
    <t>生活区用热日计按当旬累计求和</t>
  </si>
  <si>
    <t>生活区用热日计按财务月累计求和</t>
  </si>
  <si>
    <t>属于新宁工厂的生活区用热日计从当期产季第一天开始累计求和</t>
  </si>
  <si>
    <t>属于昭苏工厂的生活区用热日计从当期产季第一天开始累计求和</t>
  </si>
  <si>
    <t>生活区用热日计从当期产季第一天开始累计求和</t>
  </si>
  <si>
    <t>安
全
运
行</t>
  </si>
  <si>
    <r>
      <rPr>
        <sz val="11"/>
        <rFont val="微软雅黑"/>
        <family val="2"/>
        <charset val="134"/>
      </rPr>
      <t>1</t>
    </r>
    <r>
      <rPr>
        <sz val="11"/>
        <color theme="1"/>
        <rFont val="微软雅黑"/>
        <family val="2"/>
        <charset val="134"/>
      </rPr>
      <t>＃炉运行</t>
    </r>
  </si>
  <si>
    <t>小时</t>
  </si>
  <si>
    <t>甲班1＃炉运行+乙班1＃炉运行+丙班1＃炉运行</t>
  </si>
  <si>
    <t>1＃炉运行日计按当旬累计求和</t>
  </si>
  <si>
    <t>1＃炉运行日计按财务月累计求和</t>
  </si>
  <si>
    <t>属于新宁工厂的1＃炉运行日计从当期产季第一天开始累计求和</t>
  </si>
  <si>
    <t>属于昭苏工厂的2＃炉运行日计从当期产季第一天开始累计求和</t>
  </si>
  <si>
    <t>1＃炉运行日计从当期产季第一天开始累计求和</t>
  </si>
  <si>
    <r>
      <rPr>
        <sz val="11"/>
        <rFont val="微软雅黑"/>
        <family val="2"/>
        <charset val="134"/>
      </rPr>
      <t>2</t>
    </r>
    <r>
      <rPr>
        <sz val="11"/>
        <color theme="1"/>
        <rFont val="微软雅黑"/>
        <family val="2"/>
        <charset val="134"/>
      </rPr>
      <t>＃炉运行</t>
    </r>
  </si>
  <si>
    <t>甲班2＃炉运行+乙班2＃炉运行+丙班2＃炉运行</t>
  </si>
  <si>
    <t>2＃炉运行日计按当旬累计求和</t>
  </si>
  <si>
    <t>2＃炉运行日计按财务月累计求和</t>
  </si>
  <si>
    <t>属于新宁工厂的2＃炉运行日计从当期产季第一天开始累计求和</t>
  </si>
  <si>
    <t>属于昭苏工厂的3＃炉运行日计从当期产季第一天开始累计求和</t>
  </si>
  <si>
    <t>2＃炉运行日计从当期产季第一天开始累计求和</t>
  </si>
  <si>
    <r>
      <rPr>
        <sz val="11"/>
        <rFont val="微软雅黑"/>
        <family val="2"/>
        <charset val="134"/>
      </rPr>
      <t>3</t>
    </r>
    <r>
      <rPr>
        <sz val="11"/>
        <color theme="1"/>
        <rFont val="微软雅黑"/>
        <family val="2"/>
        <charset val="134"/>
      </rPr>
      <t>＃炉运行</t>
    </r>
  </si>
  <si>
    <t>甲班3＃炉运行+乙班3＃炉运行+丙班3＃炉运行</t>
  </si>
  <si>
    <t>3＃炉运行日计按当旬累计求和</t>
  </si>
  <si>
    <t>3＃炉运行日计按财务月累计求和</t>
  </si>
  <si>
    <t>属于新宁工厂的3＃炉运行日计从当期产季第一天开始累计求和</t>
  </si>
  <si>
    <t>属于昭苏工厂的4＃炉运行日计从当期产季第一天开始累计求和</t>
  </si>
  <si>
    <t>3＃炉运行日计从当期产季第一天开始累计求和</t>
  </si>
  <si>
    <t>合计</t>
  </si>
  <si>
    <t>甲班1＃炉运行+2＃炉运行+3＃炉运行</t>
  </si>
  <si>
    <t>乙班1＃炉运行+2＃炉运行+3＃炉运行</t>
  </si>
  <si>
    <t>丙班1＃炉运行+2＃炉运行+3＃炉运行</t>
  </si>
  <si>
    <t>甲班合计+乙班合计+丙班合计</t>
  </si>
  <si>
    <t>日计按当旬累计求和</t>
  </si>
  <si>
    <t>日计按财务月累计求和</t>
  </si>
  <si>
    <t>属于新宁工厂的日计从当期产季第一天开始累计求和</t>
  </si>
  <si>
    <t>属于昭苏工厂的日计从当期产季第一天开始累计求和</t>
  </si>
  <si>
    <t>日计从当期产季第一天开始累计求和</t>
  </si>
  <si>
    <t>1＃机运行</t>
  </si>
  <si>
    <t>甲班1＃机运行+乙班1＃机运行+丙班1＃机运行</t>
  </si>
  <si>
    <t>1＃机运行日计按当旬累计求和</t>
  </si>
  <si>
    <t>1＃机运行日计按财务月累计求和</t>
  </si>
  <si>
    <t>属于新宁工厂的1＃机运行日计从当期产季第一天开始累计求和</t>
  </si>
  <si>
    <t>属于昭苏工厂的2＃机运行日计从当期产季第一天开始累计求和</t>
  </si>
  <si>
    <t>1＃机运行日计从当期产季第一天开始累计求和</t>
  </si>
  <si>
    <t>2＃机运行</t>
  </si>
  <si>
    <t>甲班2＃机运行+乙班2＃机运行+丙班2＃机运行</t>
  </si>
  <si>
    <t>2＃机运行日计按当旬累计求和</t>
  </si>
  <si>
    <t>2＃机运行日计按财务月累计求和</t>
  </si>
  <si>
    <t>属于新宁工厂的2＃机运行日计从当期产季第一天开始累计求和</t>
  </si>
  <si>
    <t>属于昭苏工厂的3＃机运行日计从当期产季第一天开始累计求和</t>
  </si>
  <si>
    <t>2＃机运行日计从当期产季第一天开始累计求和</t>
  </si>
  <si>
    <t>3＃机运行</t>
  </si>
  <si>
    <t>甲班3＃机运行+乙班3＃机运行+丙班3＃机运行</t>
  </si>
  <si>
    <t>3＃机运行日计按当旬累计求和</t>
  </si>
  <si>
    <t>3＃机运行日计按财务月累计求和</t>
  </si>
  <si>
    <t>属于新宁工厂的3＃机运行日计从当期产季第一天开始累计求和</t>
  </si>
  <si>
    <t>属于昭苏工厂的4＃机运行日计从当期产季第一天开始累计求和</t>
  </si>
  <si>
    <t>3＃机运行日计从当期产季第一天开始累计求和</t>
  </si>
  <si>
    <t>甲班1＃机运行+2＃机运行+3＃机运行</t>
  </si>
  <si>
    <t>乙班1＃机运行+2＃机运行+3＃机运行</t>
  </si>
  <si>
    <t>丙班1＃机运行+2＃机运行+3＃机运行</t>
  </si>
  <si>
    <t>备
注</t>
  </si>
  <si>
    <t>车间领导：王卫军                                                            统计员：孙翟娅</t>
  </si>
  <si>
    <t>第32天</t>
  </si>
  <si>
    <t>累计</t>
  </si>
  <si>
    <t>堆跺机电</t>
  </si>
  <si>
    <t>机修</t>
  </si>
  <si>
    <t>机关</t>
  </si>
  <si>
    <t>检控</t>
  </si>
  <si>
    <t>福利区用电</t>
  </si>
  <si>
    <t>70-80</t>
  </si>
  <si>
    <t>170-180</t>
  </si>
  <si>
    <r>
      <rPr>
        <sz val="11"/>
        <rFont val="微软雅黑"/>
        <family val="2"/>
        <charset val="134"/>
      </rPr>
      <t>1</t>
    </r>
    <r>
      <rPr>
        <sz val="11"/>
        <color theme="1"/>
        <rFont val="微软雅黑"/>
        <family val="2"/>
        <charset val="134"/>
      </rPr>
      <t>＃机运行</t>
    </r>
  </si>
  <si>
    <r>
      <rPr>
        <sz val="11"/>
        <rFont val="微软雅黑"/>
        <family val="2"/>
        <charset val="134"/>
      </rPr>
      <t>2</t>
    </r>
    <r>
      <rPr>
        <sz val="11"/>
        <color theme="1"/>
        <rFont val="微软雅黑"/>
        <family val="2"/>
        <charset val="134"/>
      </rPr>
      <t>＃机运行</t>
    </r>
  </si>
  <si>
    <r>
      <rPr>
        <sz val="11"/>
        <rFont val="微软雅黑"/>
        <family val="2"/>
        <charset val="134"/>
      </rPr>
      <t>3</t>
    </r>
    <r>
      <rPr>
        <sz val="11"/>
        <color theme="1"/>
        <rFont val="微软雅黑"/>
        <family val="2"/>
        <charset val="134"/>
      </rPr>
      <t>＃机运行</t>
    </r>
  </si>
  <si>
    <t>发电最高负荷</t>
  </si>
  <si>
    <t>千瓦</t>
  </si>
  <si>
    <t>发电最低负荷</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</si>
</sst>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8" formatCode="0.000"/>
  </numFmts>
  <fonts count="13">
    <font>
      <sz val="11"/>
      <color theme="1"/>
      <name val="宋体"/>
      <charset val="134"/>
      <scheme val="minor"/>
    </font>
    <font>
      <sz val="18"/>
      <name val="方正小标宋简体"/>
      <charset val="134"/>
    </font>
    <font>
      <b/>
      <sz val="16"/>
      <name val="宋体"/>
      <family val="3"/>
      <charset val="134"/>
    </font>
    <font>
      <sz val="10"/>
      <color theme="1"/>
      <name val="微软雅黑"/>
      <family val="2"/>
      <charset val="134"/>
    </font>
    <font>
      <sz val="10"/>
      <name val="微软雅黑"/>
      <family val="2"/>
      <charset val="134"/>
    </font>
    <font>
      <b/>
      <sz val="12"/>
      <name val="Times New Roman"/>
      <family val="1"/>
    </font>
    <font>
      <sz val="11"/>
      <color theme="1"/>
      <name val="微软雅黑"/>
      <family val="2"/>
      <charset val="134"/>
    </font>
    <font>
      <sz val="11"/>
      <name val="微软雅黑"/>
      <family val="2"/>
      <charset val="134"/>
    </font>
    <font>
      <sz val="11"/>
      <name val="宋体"/>
      <family val="3"/>
      <charset val="134"/>
    </font>
    <font>
      <sz val="12"/>
      <name val="宋体"/>
      <family val="3"/>
      <charset val="134"/>
    </font>
    <font>
      <sz val="9"/>
      <name val="宋体"/>
      <family val="3"/>
      <charset val="134"/>
    </font>
    <font>
      <b/>
      <sz val="11"/>
      <color rgb="FFFF0000"/>
      <name val="微软雅黑"/>
      <family val="2"/>
      <charset val="134"/>
    </font>
    <font>
      <sz val="9"/>
      <name val="宋体"/>
      <family val="3"/>
      <charset val="134"/>
      <scheme val="minor"/>
    </font>
  </fonts>
  <fills count="7">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rgb="FF92D050"/>
        <bgColor indexed="64"/>
      </patternFill>
    </fill>
    <fill>
      <patternFill patternType="solid">
        <fgColor theme="7" tint="0.79998168889431442"/>
        <bgColor indexed="64"/>
      </patternFill>
    </fill>
    <fill>
      <patternFill patternType="solid">
        <fgColor theme="5" tint="0.79998168889431442"/>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s>
  <cellStyleXfs count="1">
    <xf numFmtId="0" fontId="0" fillId="0" borderId="0">
      <alignment vertical="center"/>
    </xf>
  </cellStyleXfs>
  <cellXfs count="54">
    <xf numFmtId="0" fontId="0" fillId="0" borderId="0" xfId="0">
      <alignment vertical="center"/>
    </xf>
    <xf numFmtId="0" fontId="0" fillId="0" borderId="0" xfId="0" applyFill="1" applyAlignment="1">
      <alignment vertical="center"/>
    </xf>
    <xf numFmtId="0" fontId="2" fillId="0" borderId="0" xfId="0" applyFont="1" applyFill="1" applyAlignment="1"/>
    <xf numFmtId="0" fontId="0" fillId="0" borderId="0" xfId="0" applyFill="1" applyAlignment="1"/>
    <xf numFmtId="31" fontId="5" fillId="0" borderId="0" xfId="0" applyNumberFormat="1" applyFont="1" applyFill="1" applyAlignment="1"/>
    <xf numFmtId="0" fontId="6" fillId="0" borderId="1" xfId="0" applyFont="1" applyFill="1" applyBorder="1" applyAlignment="1">
      <alignment horizontal="center" vertical="center"/>
    </xf>
    <xf numFmtId="0" fontId="7" fillId="0" borderId="1" xfId="0" applyFont="1" applyFill="1" applyBorder="1" applyAlignment="1">
      <alignment horizontal="center" vertical="center"/>
    </xf>
    <xf numFmtId="0" fontId="6" fillId="0" borderId="1" xfId="0" applyFont="1" applyFill="1" applyBorder="1" applyAlignment="1">
      <alignment horizontal="center" vertical="center" wrapText="1"/>
    </xf>
    <xf numFmtId="0" fontId="6" fillId="2" borderId="1" xfId="0" applyFont="1" applyFill="1" applyBorder="1" applyAlignment="1">
      <alignment horizontal="center" vertical="center"/>
    </xf>
    <xf numFmtId="0" fontId="0" fillId="0" borderId="0" xfId="0" applyFill="1" applyAlignment="1">
      <alignment horizontal="center" vertical="center"/>
    </xf>
    <xf numFmtId="1" fontId="7" fillId="3" borderId="1" xfId="0" applyNumberFormat="1" applyFont="1" applyFill="1" applyBorder="1" applyAlignment="1">
      <alignment horizontal="center" vertical="center"/>
    </xf>
    <xf numFmtId="0" fontId="7" fillId="4" borderId="1" xfId="0" applyFont="1" applyFill="1" applyBorder="1" applyAlignment="1">
      <alignment horizontal="center" vertical="center"/>
    </xf>
    <xf numFmtId="1" fontId="7" fillId="0" borderId="1" xfId="0" applyNumberFormat="1" applyFont="1" applyFill="1" applyBorder="1" applyAlignment="1">
      <alignment horizontal="center" vertical="center"/>
    </xf>
    <xf numFmtId="178" fontId="0" fillId="0" borderId="0" xfId="0" applyNumberFormat="1" applyFill="1" applyAlignment="1"/>
    <xf numFmtId="0" fontId="6" fillId="4" borderId="1" xfId="0" applyFont="1" applyFill="1" applyBorder="1" applyAlignment="1">
      <alignment horizontal="center" vertical="center"/>
    </xf>
    <xf numFmtId="0" fontId="8" fillId="0" borderId="0" xfId="0" applyFont="1" applyFill="1" applyAlignment="1"/>
    <xf numFmtId="0" fontId="9" fillId="0" borderId="0" xfId="0" applyFont="1" applyFill="1" applyAlignment="1"/>
    <xf numFmtId="20" fontId="7" fillId="0" borderId="1" xfId="0" applyNumberFormat="1" applyFont="1" applyFill="1" applyBorder="1" applyAlignment="1">
      <alignment horizontal="center" vertical="center"/>
    </xf>
    <xf numFmtId="46" fontId="7" fillId="0" borderId="1" xfId="0" applyNumberFormat="1" applyFont="1" applyFill="1" applyBorder="1" applyAlignment="1">
      <alignment horizontal="center" vertical="center"/>
    </xf>
    <xf numFmtId="46" fontId="0" fillId="0" borderId="0" xfId="0" applyNumberFormat="1" applyFill="1" applyAlignment="1"/>
    <xf numFmtId="0" fontId="7" fillId="0" borderId="1" xfId="0" applyFont="1" applyFill="1" applyBorder="1" applyAlignment="1">
      <alignment horizontal="center" vertical="center" wrapText="1"/>
    </xf>
    <xf numFmtId="0" fontId="10" fillId="0" borderId="0" xfId="0" applyFont="1" applyFill="1" applyAlignment="1">
      <alignment vertical="center" wrapText="1"/>
    </xf>
    <xf numFmtId="0" fontId="0" fillId="0" borderId="0" xfId="0" applyFill="1" applyAlignment="1">
      <alignment vertical="center" wrapText="1"/>
    </xf>
    <xf numFmtId="0" fontId="11" fillId="0" borderId="0" xfId="0" applyFont="1" applyFill="1" applyAlignment="1"/>
    <xf numFmtId="0" fontId="6" fillId="5" borderId="1" xfId="0" applyFont="1" applyFill="1" applyBorder="1" applyAlignment="1">
      <alignment horizontal="center" vertical="center"/>
    </xf>
    <xf numFmtId="0" fontId="6" fillId="5" borderId="1" xfId="0" applyFont="1" applyFill="1" applyBorder="1" applyAlignment="1">
      <alignment horizontal="center" vertical="center" wrapText="1"/>
    </xf>
    <xf numFmtId="0" fontId="7" fillId="5" borderId="1" xfId="0" applyFont="1" applyFill="1" applyBorder="1" applyAlignment="1">
      <alignment horizontal="center" vertical="center"/>
    </xf>
    <xf numFmtId="0" fontId="3" fillId="5" borderId="5" xfId="0" applyFont="1" applyFill="1" applyBorder="1" applyAlignment="1">
      <alignment horizontal="center" vertical="center"/>
    </xf>
    <xf numFmtId="0" fontId="4" fillId="5" borderId="5" xfId="0" applyFont="1" applyFill="1" applyBorder="1" applyAlignment="1">
      <alignment horizontal="center" vertical="center"/>
    </xf>
    <xf numFmtId="0" fontId="6" fillId="6" borderId="1" xfId="0" applyFont="1" applyFill="1" applyBorder="1" applyAlignment="1">
      <alignment horizontal="center" vertical="center"/>
    </xf>
    <xf numFmtId="46" fontId="7" fillId="0" borderId="1" xfId="0" applyNumberFormat="1" applyFont="1" applyFill="1" applyBorder="1" applyAlignment="1">
      <alignment horizontal="center" vertical="center" wrapText="1"/>
    </xf>
    <xf numFmtId="0" fontId="11" fillId="0" borderId="0" xfId="0" applyFont="1" applyFill="1" applyAlignment="1">
      <alignment horizontal="center" vertical="center"/>
    </xf>
    <xf numFmtId="0" fontId="11" fillId="0" borderId="0" xfId="0" applyFont="1" applyFill="1" applyAlignment="1">
      <alignment horizontal="center" vertical="center" wrapText="1"/>
    </xf>
    <xf numFmtId="0" fontId="1" fillId="0" borderId="0" xfId="0" applyFont="1" applyFill="1" applyAlignment="1">
      <alignment horizontal="center"/>
    </xf>
    <xf numFmtId="0" fontId="1" fillId="0" borderId="0" xfId="0" applyFont="1" applyFill="1" applyAlignment="1">
      <alignment horizontal="center" wrapText="1"/>
    </xf>
    <xf numFmtId="0" fontId="3" fillId="5"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5" borderId="1" xfId="0" applyFont="1" applyFill="1" applyBorder="1" applyAlignment="1">
      <alignment horizontal="center" vertical="center" wrapText="1"/>
    </xf>
    <xf numFmtId="31" fontId="4" fillId="5" borderId="2" xfId="0" applyNumberFormat="1" applyFont="1" applyFill="1" applyBorder="1" applyAlignment="1">
      <alignment horizontal="center" vertical="center"/>
    </xf>
    <xf numFmtId="31" fontId="4" fillId="5" borderId="3" xfId="0" applyNumberFormat="1" applyFont="1" applyFill="1" applyBorder="1" applyAlignment="1">
      <alignment horizontal="center" vertical="center"/>
    </xf>
    <xf numFmtId="31" fontId="4" fillId="5" borderId="4" xfId="0" applyNumberFormat="1" applyFont="1" applyFill="1" applyBorder="1" applyAlignment="1">
      <alignment horizontal="center" vertical="center"/>
    </xf>
    <xf numFmtId="0" fontId="6" fillId="5" borderId="1" xfId="0" applyFont="1" applyFill="1" applyBorder="1" applyAlignment="1">
      <alignment horizontal="center" vertical="center"/>
    </xf>
    <xf numFmtId="0" fontId="7" fillId="6" borderId="1" xfId="0" applyFont="1" applyFill="1" applyBorder="1" applyAlignment="1">
      <alignment horizontal="center" vertical="center" wrapText="1"/>
    </xf>
    <xf numFmtId="0" fontId="6" fillId="0" borderId="0" xfId="0" applyFont="1" applyFill="1" applyAlignment="1">
      <alignment horizontal="left" vertical="center"/>
    </xf>
    <xf numFmtId="0" fontId="6" fillId="0" borderId="0" xfId="0" applyFont="1" applyFill="1" applyAlignment="1">
      <alignment horizontal="left" vertical="center" wrapText="1"/>
    </xf>
    <xf numFmtId="0" fontId="6" fillId="5"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4" fillId="0" borderId="1" xfId="0" applyFont="1" applyFill="1" applyBorder="1" applyAlignment="1">
      <alignment horizontal="center" vertical="center"/>
    </xf>
    <xf numFmtId="31" fontId="4" fillId="0" borderId="2" xfId="0" applyNumberFormat="1" applyFont="1" applyFill="1" applyBorder="1" applyAlignment="1">
      <alignment horizontal="center" vertical="center"/>
    </xf>
    <xf numFmtId="31" fontId="4" fillId="0" borderId="3" xfId="0" applyNumberFormat="1" applyFont="1" applyFill="1" applyBorder="1" applyAlignment="1">
      <alignment horizontal="center" vertical="center"/>
    </xf>
    <xf numFmtId="31" fontId="4" fillId="0" borderId="4" xfId="0" applyNumberFormat="1" applyFont="1" applyFill="1" applyBorder="1" applyAlignment="1">
      <alignment horizontal="center" vertical="center"/>
    </xf>
    <xf numFmtId="0" fontId="6" fillId="0" borderId="1" xfId="0" applyFont="1" applyFill="1" applyBorder="1" applyAlignment="1">
      <alignment horizontal="center" vertical="center"/>
    </xf>
    <xf numFmtId="0" fontId="7"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colors>
    <mruColors>
      <color rgb="FFFFFF00"/>
      <color rgb="FF0000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11</xdr:col>
      <xdr:colOff>1727835</xdr:colOff>
      <xdr:row>0</xdr:row>
      <xdr:rowOff>90170</xdr:rowOff>
    </xdr:from>
    <xdr:to>
      <xdr:col>11</xdr:col>
      <xdr:colOff>2479040</xdr:colOff>
      <xdr:row>0</xdr:row>
      <xdr:rowOff>428625</xdr:rowOff>
    </xdr:to>
    <xdr:sp macro="" textlink="">
      <xdr:nvSpPr>
        <xdr:cNvPr id="2" name="圆角矩形 1"/>
        <xdr:cNvSpPr/>
      </xdr:nvSpPr>
      <xdr:spPr>
        <a:xfrm>
          <a:off x="23886160" y="90170"/>
          <a:ext cx="751205" cy="338455"/>
        </a:xfrm>
        <a:prstGeom prst="roundRect">
          <a:avLst/>
        </a:prstGeom>
        <a:solidFill>
          <a:schemeClr val="accent1">
            <a:lumMod val="20000"/>
            <a:lumOff val="8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b="1">
              <a:solidFill>
                <a:sysClr val="windowText" lastClr="000000"/>
              </a:solidFill>
            </a:rPr>
            <a:t>提交</a:t>
          </a:r>
        </a:p>
      </xdr:txBody>
    </xdr:sp>
    <xdr:clientData/>
  </xdr:twoCellAnchor>
  <xdr:twoCellAnchor>
    <xdr:from>
      <xdr:col>11</xdr:col>
      <xdr:colOff>2659380</xdr:colOff>
      <xdr:row>0</xdr:row>
      <xdr:rowOff>98425</xdr:rowOff>
    </xdr:from>
    <xdr:to>
      <xdr:col>11</xdr:col>
      <xdr:colOff>3533775</xdr:colOff>
      <xdr:row>0</xdr:row>
      <xdr:rowOff>436880</xdr:rowOff>
    </xdr:to>
    <xdr:sp macro="" textlink="">
      <xdr:nvSpPr>
        <xdr:cNvPr id="4" name="圆角矩形 3"/>
        <xdr:cNvSpPr/>
      </xdr:nvSpPr>
      <xdr:spPr>
        <a:xfrm>
          <a:off x="24817705" y="98425"/>
          <a:ext cx="874395" cy="338455"/>
        </a:xfrm>
        <a:prstGeom prst="roundRect">
          <a:avLst/>
        </a:prstGeom>
        <a:solidFill>
          <a:schemeClr val="accent1">
            <a:lumMod val="20000"/>
            <a:lumOff val="8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b="1">
              <a:solidFill>
                <a:sysClr val="windowText" lastClr="000000"/>
              </a:solidFill>
            </a:rPr>
            <a:t>审核确认</a:t>
          </a:r>
        </a:p>
      </xdr:txBody>
    </xdr:sp>
    <xdr:clientData/>
  </xdr:twoCellAnchor>
  <xdr:twoCellAnchor>
    <xdr:from>
      <xdr:col>0</xdr:col>
      <xdr:colOff>152400</xdr:colOff>
      <xdr:row>0</xdr:row>
      <xdr:rowOff>90170</xdr:rowOff>
    </xdr:from>
    <xdr:to>
      <xdr:col>2</xdr:col>
      <xdr:colOff>261620</xdr:colOff>
      <xdr:row>0</xdr:row>
      <xdr:rowOff>445770</xdr:rowOff>
    </xdr:to>
    <xdr:sp macro="" textlink="">
      <xdr:nvSpPr>
        <xdr:cNvPr id="5" name="圆角矩形 4"/>
        <xdr:cNvSpPr/>
      </xdr:nvSpPr>
      <xdr:spPr>
        <a:xfrm>
          <a:off x="152400" y="90170"/>
          <a:ext cx="1512570" cy="355600"/>
        </a:xfrm>
        <a:prstGeom prst="roundRect">
          <a:avLst/>
        </a:prstGeom>
        <a:solidFill>
          <a:schemeClr val="accent1">
            <a:lumMod val="20000"/>
            <a:lumOff val="8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b="1">
              <a:solidFill>
                <a:sysClr val="windowText" lastClr="000000"/>
              </a:solidFill>
            </a:rPr>
            <a:t>2025-11-10</a:t>
          </a:r>
        </a:p>
      </xdr:txBody>
    </xdr:sp>
    <xdr:clientData/>
  </xdr:twoCellAnchor>
  <xdr:twoCellAnchor editAs="oneCell">
    <xdr:from>
      <xdr:col>1</xdr:col>
      <xdr:colOff>518160</xdr:colOff>
      <xdr:row>0</xdr:row>
      <xdr:rowOff>113030</xdr:rowOff>
    </xdr:from>
    <xdr:to>
      <xdr:col>2</xdr:col>
      <xdr:colOff>116205</xdr:colOff>
      <xdr:row>0</xdr:row>
      <xdr:rowOff>412750</xdr:rowOff>
    </xdr:to>
    <xdr:pic>
      <xdr:nvPicPr>
        <xdr:cNvPr id="6" name="图片 5" descr="日期"/>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219835" y="113030"/>
          <a:ext cx="299720" cy="299720"/>
        </a:xfrm>
        <a:prstGeom prst="rect">
          <a:avLst/>
        </a:prstGeom>
      </xdr:spPr>
    </xdr:pic>
    <xdr:clientData/>
  </xdr:twoCellAnchor>
  <xdr:twoCellAnchor>
    <xdr:from>
      <xdr:col>11</xdr:col>
      <xdr:colOff>766445</xdr:colOff>
      <xdr:row>0</xdr:row>
      <xdr:rowOff>104775</xdr:rowOff>
    </xdr:from>
    <xdr:to>
      <xdr:col>11</xdr:col>
      <xdr:colOff>1584960</xdr:colOff>
      <xdr:row>0</xdr:row>
      <xdr:rowOff>443230</xdr:rowOff>
    </xdr:to>
    <xdr:sp macro="" textlink="">
      <xdr:nvSpPr>
        <xdr:cNvPr id="7" name="圆角矩形 6"/>
        <xdr:cNvSpPr/>
      </xdr:nvSpPr>
      <xdr:spPr>
        <a:xfrm>
          <a:off x="22924770" y="104775"/>
          <a:ext cx="818515" cy="338455"/>
        </a:xfrm>
        <a:prstGeom prst="roundRect">
          <a:avLst/>
        </a:prstGeom>
        <a:solidFill>
          <a:schemeClr val="accent1">
            <a:lumMod val="20000"/>
            <a:lumOff val="8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b="1">
              <a:solidFill>
                <a:sysClr val="windowText" lastClr="000000"/>
              </a:solidFill>
            </a:rPr>
            <a:t>编辑</a:t>
          </a:r>
        </a:p>
      </xdr:txBody>
    </xdr:sp>
    <xdr:clientData/>
  </xdr:twoCellAnchor>
  <xdr:twoCellAnchor>
    <xdr:from>
      <xdr:col>10</xdr:col>
      <xdr:colOff>4344670</xdr:colOff>
      <xdr:row>0</xdr:row>
      <xdr:rowOff>110490</xdr:rowOff>
    </xdr:from>
    <xdr:to>
      <xdr:col>11</xdr:col>
      <xdr:colOff>612140</xdr:colOff>
      <xdr:row>0</xdr:row>
      <xdr:rowOff>448945</xdr:rowOff>
    </xdr:to>
    <xdr:sp macro="" textlink="">
      <xdr:nvSpPr>
        <xdr:cNvPr id="8" name="圆角矩形 7"/>
        <xdr:cNvSpPr/>
      </xdr:nvSpPr>
      <xdr:spPr>
        <a:xfrm>
          <a:off x="21951950" y="110490"/>
          <a:ext cx="818515" cy="338455"/>
        </a:xfrm>
        <a:prstGeom prst="roundRect">
          <a:avLst/>
        </a:prstGeom>
        <a:solidFill>
          <a:schemeClr val="accent1">
            <a:lumMod val="20000"/>
            <a:lumOff val="8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b="1">
              <a:solidFill>
                <a:sysClr val="windowText" lastClr="000000"/>
              </a:solidFill>
            </a:rPr>
            <a:t>导出</a:t>
          </a:r>
        </a:p>
      </xdr:txBody>
    </xdr:sp>
    <xdr:clientData/>
  </xdr:twoCellAnchor>
  <xdr:twoCellAnchor>
    <xdr:from>
      <xdr:col>2</xdr:col>
      <xdr:colOff>433705</xdr:colOff>
      <xdr:row>0</xdr:row>
      <xdr:rowOff>100330</xdr:rowOff>
    </xdr:from>
    <xdr:to>
      <xdr:col>3</xdr:col>
      <xdr:colOff>1243965</xdr:colOff>
      <xdr:row>0</xdr:row>
      <xdr:rowOff>455930</xdr:rowOff>
    </xdr:to>
    <xdr:grpSp>
      <xdr:nvGrpSpPr>
        <xdr:cNvPr id="9" name="组合 8"/>
        <xdr:cNvGrpSpPr/>
      </xdr:nvGrpSpPr>
      <xdr:grpSpPr>
        <a:xfrm>
          <a:off x="2072005" y="100330"/>
          <a:ext cx="1629410" cy="355600"/>
          <a:chOff x="2565" y="85"/>
          <a:chExt cx="2376" cy="560"/>
        </a:xfrm>
      </xdr:grpSpPr>
      <xdr:sp macro="" textlink="">
        <xdr:nvSpPr>
          <xdr:cNvPr id="10" name="圆角矩形 9"/>
          <xdr:cNvSpPr/>
        </xdr:nvSpPr>
        <xdr:spPr>
          <a:xfrm>
            <a:off x="2565" y="85"/>
            <a:ext cx="2376" cy="560"/>
          </a:xfrm>
          <a:prstGeom prst="roundRect">
            <a:avLst/>
          </a:prstGeom>
          <a:solidFill>
            <a:schemeClr val="accent1">
              <a:lumMod val="20000"/>
              <a:lumOff val="8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b="1">
                <a:solidFill>
                  <a:sysClr val="windowText" lastClr="000000"/>
                </a:solidFill>
              </a:rPr>
              <a:t>新宁糖业</a:t>
            </a:r>
          </a:p>
        </xdr:txBody>
      </xdr:sp>
      <xdr:sp macro="" textlink="">
        <xdr:nvSpPr>
          <xdr:cNvPr id="11" name="等腰三角形 10"/>
          <xdr:cNvSpPr/>
        </xdr:nvSpPr>
        <xdr:spPr>
          <a:xfrm rot="10800000" flipH="1">
            <a:off x="4328" y="208"/>
            <a:ext cx="416" cy="303"/>
          </a:xfrm>
          <a:prstGeom prst="triangle">
            <a:avLst/>
          </a:prstGeom>
          <a:solidFill>
            <a:schemeClr val="bg2">
              <a:lumMod val="75000"/>
            </a:schemeClr>
          </a:solidFill>
          <a:ln>
            <a:solidFill>
              <a:schemeClr val="bg2">
                <a:lumMod val="75000"/>
              </a:schemeClr>
            </a:solidFill>
          </a:ln>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1100"/>
          </a:p>
        </xdr:txBody>
      </xdr:sp>
    </xdr:grpSp>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P28"/>
  <sheetViews>
    <sheetView tabSelected="1" zoomScale="50" zoomScaleNormal="50" workbookViewId="0">
      <pane ySplit="4" topLeftCell="A5" activePane="bottomLeft" state="frozen"/>
      <selection pane="bottomLeft" activeCell="H38" sqref="H38"/>
    </sheetView>
  </sheetViews>
  <sheetFormatPr defaultColWidth="9" defaultRowHeight="13.5"/>
  <cols>
    <col min="1" max="3" width="10.625" style="1" customWidth="1"/>
    <col min="4" max="4" width="20.125" style="1" customWidth="1"/>
    <col min="5" max="6" width="21.5" style="1" customWidth="1"/>
    <col min="7" max="7" width="36.125" style="22" customWidth="1"/>
    <col min="8" max="8" width="34.75" style="1" customWidth="1"/>
    <col min="9" max="9" width="35.125" style="1" customWidth="1"/>
    <col min="10" max="10" width="65.75" style="1" customWidth="1"/>
    <col min="11" max="11" width="68.875" style="1" customWidth="1"/>
    <col min="12" max="12" width="56.5" style="1" customWidth="1"/>
    <col min="13" max="13" width="9.75" style="1" customWidth="1"/>
    <col min="14" max="14" width="13.5" style="1" customWidth="1"/>
    <col min="15" max="257" width="9" style="1"/>
    <col min="258" max="258" width="4" style="1" customWidth="1"/>
    <col min="259" max="259" width="10.125" style="1" customWidth="1"/>
    <col min="260" max="260" width="4.875" style="1" customWidth="1"/>
    <col min="261" max="261" width="9.5" style="1" customWidth="1"/>
    <col min="262" max="262" width="8.375" style="1" customWidth="1"/>
    <col min="263" max="263" width="9.5" style="1" customWidth="1"/>
    <col min="264" max="264" width="10" style="1" customWidth="1"/>
    <col min="265" max="265" width="10.75" style="1" customWidth="1"/>
    <col min="266" max="266" width="10.625" style="1" customWidth="1"/>
    <col min="267" max="267" width="9.75" style="1" customWidth="1"/>
    <col min="268" max="513" width="9" style="1"/>
    <col min="514" max="514" width="4" style="1" customWidth="1"/>
    <col min="515" max="515" width="10.125" style="1" customWidth="1"/>
    <col min="516" max="516" width="4.875" style="1" customWidth="1"/>
    <col min="517" max="517" width="9.5" style="1" customWidth="1"/>
    <col min="518" max="518" width="8.375" style="1" customWidth="1"/>
    <col min="519" max="519" width="9.5" style="1" customWidth="1"/>
    <col min="520" max="520" width="10" style="1" customWidth="1"/>
    <col min="521" max="521" width="10.75" style="1" customWidth="1"/>
    <col min="522" max="522" width="10.625" style="1" customWidth="1"/>
    <col min="523" max="523" width="9.75" style="1" customWidth="1"/>
    <col min="524" max="769" width="9" style="1"/>
    <col min="770" max="770" width="4" style="1" customWidth="1"/>
    <col min="771" max="771" width="10.125" style="1" customWidth="1"/>
    <col min="772" max="772" width="4.875" style="1" customWidth="1"/>
    <col min="773" max="773" width="9.5" style="1" customWidth="1"/>
    <col min="774" max="774" width="8.375" style="1" customWidth="1"/>
    <col min="775" max="775" width="9.5" style="1" customWidth="1"/>
    <col min="776" max="776" width="10" style="1" customWidth="1"/>
    <col min="777" max="777" width="10.75" style="1" customWidth="1"/>
    <col min="778" max="778" width="10.625" style="1" customWidth="1"/>
    <col min="779" max="779" width="9.75" style="1" customWidth="1"/>
    <col min="780" max="1025" width="9" style="1"/>
    <col min="1026" max="1026" width="4" style="1" customWidth="1"/>
    <col min="1027" max="1027" width="10.125" style="1" customWidth="1"/>
    <col min="1028" max="1028" width="4.875" style="1" customWidth="1"/>
    <col min="1029" max="1029" width="9.5" style="1" customWidth="1"/>
    <col min="1030" max="1030" width="8.375" style="1" customWidth="1"/>
    <col min="1031" max="1031" width="9.5" style="1" customWidth="1"/>
    <col min="1032" max="1032" width="10" style="1" customWidth="1"/>
    <col min="1033" max="1033" width="10.75" style="1" customWidth="1"/>
    <col min="1034" max="1034" width="10.625" style="1" customWidth="1"/>
    <col min="1035" max="1035" width="9.75" style="1" customWidth="1"/>
    <col min="1036" max="1281" width="9" style="1"/>
    <col min="1282" max="1282" width="4" style="1" customWidth="1"/>
    <col min="1283" max="1283" width="10.125" style="1" customWidth="1"/>
    <col min="1284" max="1284" width="4.875" style="1" customWidth="1"/>
    <col min="1285" max="1285" width="9.5" style="1" customWidth="1"/>
    <col min="1286" max="1286" width="8.375" style="1" customWidth="1"/>
    <col min="1287" max="1287" width="9.5" style="1" customWidth="1"/>
    <col min="1288" max="1288" width="10" style="1" customWidth="1"/>
    <col min="1289" max="1289" width="10.75" style="1" customWidth="1"/>
    <col min="1290" max="1290" width="10.625" style="1" customWidth="1"/>
    <col min="1291" max="1291" width="9.75" style="1" customWidth="1"/>
    <col min="1292" max="1537" width="9" style="1"/>
    <col min="1538" max="1538" width="4" style="1" customWidth="1"/>
    <col min="1539" max="1539" width="10.125" style="1" customWidth="1"/>
    <col min="1540" max="1540" width="4.875" style="1" customWidth="1"/>
    <col min="1541" max="1541" width="9.5" style="1" customWidth="1"/>
    <col min="1542" max="1542" width="8.375" style="1" customWidth="1"/>
    <col min="1543" max="1543" width="9.5" style="1" customWidth="1"/>
    <col min="1544" max="1544" width="10" style="1" customWidth="1"/>
    <col min="1545" max="1545" width="10.75" style="1" customWidth="1"/>
    <col min="1546" max="1546" width="10.625" style="1" customWidth="1"/>
    <col min="1547" max="1547" width="9.75" style="1" customWidth="1"/>
    <col min="1548" max="1793" width="9" style="1"/>
    <col min="1794" max="1794" width="4" style="1" customWidth="1"/>
    <col min="1795" max="1795" width="10.125" style="1" customWidth="1"/>
    <col min="1796" max="1796" width="4.875" style="1" customWidth="1"/>
    <col min="1797" max="1797" width="9.5" style="1" customWidth="1"/>
    <col min="1798" max="1798" width="8.375" style="1" customWidth="1"/>
    <col min="1799" max="1799" width="9.5" style="1" customWidth="1"/>
    <col min="1800" max="1800" width="10" style="1" customWidth="1"/>
    <col min="1801" max="1801" width="10.75" style="1" customWidth="1"/>
    <col min="1802" max="1802" width="10.625" style="1" customWidth="1"/>
    <col min="1803" max="1803" width="9.75" style="1" customWidth="1"/>
    <col min="1804" max="2049" width="9" style="1"/>
    <col min="2050" max="2050" width="4" style="1" customWidth="1"/>
    <col min="2051" max="2051" width="10.125" style="1" customWidth="1"/>
    <col min="2052" max="2052" width="4.875" style="1" customWidth="1"/>
    <col min="2053" max="2053" width="9.5" style="1" customWidth="1"/>
    <col min="2054" max="2054" width="8.375" style="1" customWidth="1"/>
    <col min="2055" max="2055" width="9.5" style="1" customWidth="1"/>
    <col min="2056" max="2056" width="10" style="1" customWidth="1"/>
    <col min="2057" max="2057" width="10.75" style="1" customWidth="1"/>
    <col min="2058" max="2058" width="10.625" style="1" customWidth="1"/>
    <col min="2059" max="2059" width="9.75" style="1" customWidth="1"/>
    <col min="2060" max="2305" width="9" style="1"/>
    <col min="2306" max="2306" width="4" style="1" customWidth="1"/>
    <col min="2307" max="2307" width="10.125" style="1" customWidth="1"/>
    <col min="2308" max="2308" width="4.875" style="1" customWidth="1"/>
    <col min="2309" max="2309" width="9.5" style="1" customWidth="1"/>
    <col min="2310" max="2310" width="8.375" style="1" customWidth="1"/>
    <col min="2311" max="2311" width="9.5" style="1" customWidth="1"/>
    <col min="2312" max="2312" width="10" style="1" customWidth="1"/>
    <col min="2313" max="2313" width="10.75" style="1" customWidth="1"/>
    <col min="2314" max="2314" width="10.625" style="1" customWidth="1"/>
    <col min="2315" max="2315" width="9.75" style="1" customWidth="1"/>
    <col min="2316" max="2561" width="9" style="1"/>
    <col min="2562" max="2562" width="4" style="1" customWidth="1"/>
    <col min="2563" max="2563" width="10.125" style="1" customWidth="1"/>
    <col min="2564" max="2564" width="4.875" style="1" customWidth="1"/>
    <col min="2565" max="2565" width="9.5" style="1" customWidth="1"/>
    <col min="2566" max="2566" width="8.375" style="1" customWidth="1"/>
    <col min="2567" max="2567" width="9.5" style="1" customWidth="1"/>
    <col min="2568" max="2568" width="10" style="1" customWidth="1"/>
    <col min="2569" max="2569" width="10.75" style="1" customWidth="1"/>
    <col min="2570" max="2570" width="10.625" style="1" customWidth="1"/>
    <col min="2571" max="2571" width="9.75" style="1" customWidth="1"/>
    <col min="2572" max="2817" width="9" style="1"/>
    <col min="2818" max="2818" width="4" style="1" customWidth="1"/>
    <col min="2819" max="2819" width="10.125" style="1" customWidth="1"/>
    <col min="2820" max="2820" width="4.875" style="1" customWidth="1"/>
    <col min="2821" max="2821" width="9.5" style="1" customWidth="1"/>
    <col min="2822" max="2822" width="8.375" style="1" customWidth="1"/>
    <col min="2823" max="2823" width="9.5" style="1" customWidth="1"/>
    <col min="2824" max="2824" width="10" style="1" customWidth="1"/>
    <col min="2825" max="2825" width="10.75" style="1" customWidth="1"/>
    <col min="2826" max="2826" width="10.625" style="1" customWidth="1"/>
    <col min="2827" max="2827" width="9.75" style="1" customWidth="1"/>
    <col min="2828" max="3073" width="9" style="1"/>
    <col min="3074" max="3074" width="4" style="1" customWidth="1"/>
    <col min="3075" max="3075" width="10.125" style="1" customWidth="1"/>
    <col min="3076" max="3076" width="4.875" style="1" customWidth="1"/>
    <col min="3077" max="3077" width="9.5" style="1" customWidth="1"/>
    <col min="3078" max="3078" width="8.375" style="1" customWidth="1"/>
    <col min="3079" max="3079" width="9.5" style="1" customWidth="1"/>
    <col min="3080" max="3080" width="10" style="1" customWidth="1"/>
    <col min="3081" max="3081" width="10.75" style="1" customWidth="1"/>
    <col min="3082" max="3082" width="10.625" style="1" customWidth="1"/>
    <col min="3083" max="3083" width="9.75" style="1" customWidth="1"/>
    <col min="3084" max="3329" width="9" style="1"/>
    <col min="3330" max="3330" width="4" style="1" customWidth="1"/>
    <col min="3331" max="3331" width="10.125" style="1" customWidth="1"/>
    <col min="3332" max="3332" width="4.875" style="1" customWidth="1"/>
    <col min="3333" max="3333" width="9.5" style="1" customWidth="1"/>
    <col min="3334" max="3334" width="8.375" style="1" customWidth="1"/>
    <col min="3335" max="3335" width="9.5" style="1" customWidth="1"/>
    <col min="3336" max="3336" width="10" style="1" customWidth="1"/>
    <col min="3337" max="3337" width="10.75" style="1" customWidth="1"/>
    <col min="3338" max="3338" width="10.625" style="1" customWidth="1"/>
    <col min="3339" max="3339" width="9.75" style="1" customWidth="1"/>
    <col min="3340" max="3585" width="9" style="1"/>
    <col min="3586" max="3586" width="4" style="1" customWidth="1"/>
    <col min="3587" max="3587" width="10.125" style="1" customWidth="1"/>
    <col min="3588" max="3588" width="4.875" style="1" customWidth="1"/>
    <col min="3589" max="3589" width="9.5" style="1" customWidth="1"/>
    <col min="3590" max="3590" width="8.375" style="1" customWidth="1"/>
    <col min="3591" max="3591" width="9.5" style="1" customWidth="1"/>
    <col min="3592" max="3592" width="10" style="1" customWidth="1"/>
    <col min="3593" max="3593" width="10.75" style="1" customWidth="1"/>
    <col min="3594" max="3594" width="10.625" style="1" customWidth="1"/>
    <col min="3595" max="3595" width="9.75" style="1" customWidth="1"/>
    <col min="3596" max="3841" width="9" style="1"/>
    <col min="3842" max="3842" width="4" style="1" customWidth="1"/>
    <col min="3843" max="3843" width="10.125" style="1" customWidth="1"/>
    <col min="3844" max="3844" width="4.875" style="1" customWidth="1"/>
    <col min="3845" max="3845" width="9.5" style="1" customWidth="1"/>
    <col min="3846" max="3846" width="8.375" style="1" customWidth="1"/>
    <col min="3847" max="3847" width="9.5" style="1" customWidth="1"/>
    <col min="3848" max="3848" width="10" style="1" customWidth="1"/>
    <col min="3849" max="3849" width="10.75" style="1" customWidth="1"/>
    <col min="3850" max="3850" width="10.625" style="1" customWidth="1"/>
    <col min="3851" max="3851" width="9.75" style="1" customWidth="1"/>
    <col min="3852" max="4097" width="9" style="1"/>
    <col min="4098" max="4098" width="4" style="1" customWidth="1"/>
    <col min="4099" max="4099" width="10.125" style="1" customWidth="1"/>
    <col min="4100" max="4100" width="4.875" style="1" customWidth="1"/>
    <col min="4101" max="4101" width="9.5" style="1" customWidth="1"/>
    <col min="4102" max="4102" width="8.375" style="1" customWidth="1"/>
    <col min="4103" max="4103" width="9.5" style="1" customWidth="1"/>
    <col min="4104" max="4104" width="10" style="1" customWidth="1"/>
    <col min="4105" max="4105" width="10.75" style="1" customWidth="1"/>
    <col min="4106" max="4106" width="10.625" style="1" customWidth="1"/>
    <col min="4107" max="4107" width="9.75" style="1" customWidth="1"/>
    <col min="4108" max="4353" width="9" style="1"/>
    <col min="4354" max="4354" width="4" style="1" customWidth="1"/>
    <col min="4355" max="4355" width="10.125" style="1" customWidth="1"/>
    <col min="4356" max="4356" width="4.875" style="1" customWidth="1"/>
    <col min="4357" max="4357" width="9.5" style="1" customWidth="1"/>
    <col min="4358" max="4358" width="8.375" style="1" customWidth="1"/>
    <col min="4359" max="4359" width="9.5" style="1" customWidth="1"/>
    <col min="4360" max="4360" width="10" style="1" customWidth="1"/>
    <col min="4361" max="4361" width="10.75" style="1" customWidth="1"/>
    <col min="4362" max="4362" width="10.625" style="1" customWidth="1"/>
    <col min="4363" max="4363" width="9.75" style="1" customWidth="1"/>
    <col min="4364" max="4609" width="9" style="1"/>
    <col min="4610" max="4610" width="4" style="1" customWidth="1"/>
    <col min="4611" max="4611" width="10.125" style="1" customWidth="1"/>
    <col min="4612" max="4612" width="4.875" style="1" customWidth="1"/>
    <col min="4613" max="4613" width="9.5" style="1" customWidth="1"/>
    <col min="4614" max="4614" width="8.375" style="1" customWidth="1"/>
    <col min="4615" max="4615" width="9.5" style="1" customWidth="1"/>
    <col min="4616" max="4616" width="10" style="1" customWidth="1"/>
    <col min="4617" max="4617" width="10.75" style="1" customWidth="1"/>
    <col min="4618" max="4618" width="10.625" style="1" customWidth="1"/>
    <col min="4619" max="4619" width="9.75" style="1" customWidth="1"/>
    <col min="4620" max="4865" width="9" style="1"/>
    <col min="4866" max="4866" width="4" style="1" customWidth="1"/>
    <col min="4867" max="4867" width="10.125" style="1" customWidth="1"/>
    <col min="4868" max="4868" width="4.875" style="1" customWidth="1"/>
    <col min="4869" max="4869" width="9.5" style="1" customWidth="1"/>
    <col min="4870" max="4870" width="8.375" style="1" customWidth="1"/>
    <col min="4871" max="4871" width="9.5" style="1" customWidth="1"/>
    <col min="4872" max="4872" width="10" style="1" customWidth="1"/>
    <col min="4873" max="4873" width="10.75" style="1" customWidth="1"/>
    <col min="4874" max="4874" width="10.625" style="1" customWidth="1"/>
    <col min="4875" max="4875" width="9.75" style="1" customWidth="1"/>
    <col min="4876" max="5121" width="9" style="1"/>
    <col min="5122" max="5122" width="4" style="1" customWidth="1"/>
    <col min="5123" max="5123" width="10.125" style="1" customWidth="1"/>
    <col min="5124" max="5124" width="4.875" style="1" customWidth="1"/>
    <col min="5125" max="5125" width="9.5" style="1" customWidth="1"/>
    <col min="5126" max="5126" width="8.375" style="1" customWidth="1"/>
    <col min="5127" max="5127" width="9.5" style="1" customWidth="1"/>
    <col min="5128" max="5128" width="10" style="1" customWidth="1"/>
    <col min="5129" max="5129" width="10.75" style="1" customWidth="1"/>
    <col min="5130" max="5130" width="10.625" style="1" customWidth="1"/>
    <col min="5131" max="5131" width="9.75" style="1" customWidth="1"/>
    <col min="5132" max="5377" width="9" style="1"/>
    <col min="5378" max="5378" width="4" style="1" customWidth="1"/>
    <col min="5379" max="5379" width="10.125" style="1" customWidth="1"/>
    <col min="5380" max="5380" width="4.875" style="1" customWidth="1"/>
    <col min="5381" max="5381" width="9.5" style="1" customWidth="1"/>
    <col min="5382" max="5382" width="8.375" style="1" customWidth="1"/>
    <col min="5383" max="5383" width="9.5" style="1" customWidth="1"/>
    <col min="5384" max="5384" width="10" style="1" customWidth="1"/>
    <col min="5385" max="5385" width="10.75" style="1" customWidth="1"/>
    <col min="5386" max="5386" width="10.625" style="1" customWidth="1"/>
    <col min="5387" max="5387" width="9.75" style="1" customWidth="1"/>
    <col min="5388" max="5633" width="9" style="1"/>
    <col min="5634" max="5634" width="4" style="1" customWidth="1"/>
    <col min="5635" max="5635" width="10.125" style="1" customWidth="1"/>
    <col min="5636" max="5636" width="4.875" style="1" customWidth="1"/>
    <col min="5637" max="5637" width="9.5" style="1" customWidth="1"/>
    <col min="5638" max="5638" width="8.375" style="1" customWidth="1"/>
    <col min="5639" max="5639" width="9.5" style="1" customWidth="1"/>
    <col min="5640" max="5640" width="10" style="1" customWidth="1"/>
    <col min="5641" max="5641" width="10.75" style="1" customWidth="1"/>
    <col min="5642" max="5642" width="10.625" style="1" customWidth="1"/>
    <col min="5643" max="5643" width="9.75" style="1" customWidth="1"/>
    <col min="5644" max="5889" width="9" style="1"/>
    <col min="5890" max="5890" width="4" style="1" customWidth="1"/>
    <col min="5891" max="5891" width="10.125" style="1" customWidth="1"/>
    <col min="5892" max="5892" width="4.875" style="1" customWidth="1"/>
    <col min="5893" max="5893" width="9.5" style="1" customWidth="1"/>
    <col min="5894" max="5894" width="8.375" style="1" customWidth="1"/>
    <col min="5895" max="5895" width="9.5" style="1" customWidth="1"/>
    <col min="5896" max="5896" width="10" style="1" customWidth="1"/>
    <col min="5897" max="5897" width="10.75" style="1" customWidth="1"/>
    <col min="5898" max="5898" width="10.625" style="1" customWidth="1"/>
    <col min="5899" max="5899" width="9.75" style="1" customWidth="1"/>
    <col min="5900" max="6145" width="9" style="1"/>
    <col min="6146" max="6146" width="4" style="1" customWidth="1"/>
    <col min="6147" max="6147" width="10.125" style="1" customWidth="1"/>
    <col min="6148" max="6148" width="4.875" style="1" customWidth="1"/>
    <col min="6149" max="6149" width="9.5" style="1" customWidth="1"/>
    <col min="6150" max="6150" width="8.375" style="1" customWidth="1"/>
    <col min="6151" max="6151" width="9.5" style="1" customWidth="1"/>
    <col min="6152" max="6152" width="10" style="1" customWidth="1"/>
    <col min="6153" max="6153" width="10.75" style="1" customWidth="1"/>
    <col min="6154" max="6154" width="10.625" style="1" customWidth="1"/>
    <col min="6155" max="6155" width="9.75" style="1" customWidth="1"/>
    <col min="6156" max="6401" width="9" style="1"/>
    <col min="6402" max="6402" width="4" style="1" customWidth="1"/>
    <col min="6403" max="6403" width="10.125" style="1" customWidth="1"/>
    <col min="6404" max="6404" width="4.875" style="1" customWidth="1"/>
    <col min="6405" max="6405" width="9.5" style="1" customWidth="1"/>
    <col min="6406" max="6406" width="8.375" style="1" customWidth="1"/>
    <col min="6407" max="6407" width="9.5" style="1" customWidth="1"/>
    <col min="6408" max="6408" width="10" style="1" customWidth="1"/>
    <col min="6409" max="6409" width="10.75" style="1" customWidth="1"/>
    <col min="6410" max="6410" width="10.625" style="1" customWidth="1"/>
    <col min="6411" max="6411" width="9.75" style="1" customWidth="1"/>
    <col min="6412" max="6657" width="9" style="1"/>
    <col min="6658" max="6658" width="4" style="1" customWidth="1"/>
    <col min="6659" max="6659" width="10.125" style="1" customWidth="1"/>
    <col min="6660" max="6660" width="4.875" style="1" customWidth="1"/>
    <col min="6661" max="6661" width="9.5" style="1" customWidth="1"/>
    <col min="6662" max="6662" width="8.375" style="1" customWidth="1"/>
    <col min="6663" max="6663" width="9.5" style="1" customWidth="1"/>
    <col min="6664" max="6664" width="10" style="1" customWidth="1"/>
    <col min="6665" max="6665" width="10.75" style="1" customWidth="1"/>
    <col min="6666" max="6666" width="10.625" style="1" customWidth="1"/>
    <col min="6667" max="6667" width="9.75" style="1" customWidth="1"/>
    <col min="6668" max="6913" width="9" style="1"/>
    <col min="6914" max="6914" width="4" style="1" customWidth="1"/>
    <col min="6915" max="6915" width="10.125" style="1" customWidth="1"/>
    <col min="6916" max="6916" width="4.875" style="1" customWidth="1"/>
    <col min="6917" max="6917" width="9.5" style="1" customWidth="1"/>
    <col min="6918" max="6918" width="8.375" style="1" customWidth="1"/>
    <col min="6919" max="6919" width="9.5" style="1" customWidth="1"/>
    <col min="6920" max="6920" width="10" style="1" customWidth="1"/>
    <col min="6921" max="6921" width="10.75" style="1" customWidth="1"/>
    <col min="6922" max="6922" width="10.625" style="1" customWidth="1"/>
    <col min="6923" max="6923" width="9.75" style="1" customWidth="1"/>
    <col min="6924" max="7169" width="9" style="1"/>
    <col min="7170" max="7170" width="4" style="1" customWidth="1"/>
    <col min="7171" max="7171" width="10.125" style="1" customWidth="1"/>
    <col min="7172" max="7172" width="4.875" style="1" customWidth="1"/>
    <col min="7173" max="7173" width="9.5" style="1" customWidth="1"/>
    <col min="7174" max="7174" width="8.375" style="1" customWidth="1"/>
    <col min="7175" max="7175" width="9.5" style="1" customWidth="1"/>
    <col min="7176" max="7176" width="10" style="1" customWidth="1"/>
    <col min="7177" max="7177" width="10.75" style="1" customWidth="1"/>
    <col min="7178" max="7178" width="10.625" style="1" customWidth="1"/>
    <col min="7179" max="7179" width="9.75" style="1" customWidth="1"/>
    <col min="7180" max="7425" width="9" style="1"/>
    <col min="7426" max="7426" width="4" style="1" customWidth="1"/>
    <col min="7427" max="7427" width="10.125" style="1" customWidth="1"/>
    <col min="7428" max="7428" width="4.875" style="1" customWidth="1"/>
    <col min="7429" max="7429" width="9.5" style="1" customWidth="1"/>
    <col min="7430" max="7430" width="8.375" style="1" customWidth="1"/>
    <col min="7431" max="7431" width="9.5" style="1" customWidth="1"/>
    <col min="7432" max="7432" width="10" style="1" customWidth="1"/>
    <col min="7433" max="7433" width="10.75" style="1" customWidth="1"/>
    <col min="7434" max="7434" width="10.625" style="1" customWidth="1"/>
    <col min="7435" max="7435" width="9.75" style="1" customWidth="1"/>
    <col min="7436" max="7681" width="9" style="1"/>
    <col min="7682" max="7682" width="4" style="1" customWidth="1"/>
    <col min="7683" max="7683" width="10.125" style="1" customWidth="1"/>
    <col min="7684" max="7684" width="4.875" style="1" customWidth="1"/>
    <col min="7685" max="7685" width="9.5" style="1" customWidth="1"/>
    <col min="7686" max="7686" width="8.375" style="1" customWidth="1"/>
    <col min="7687" max="7687" width="9.5" style="1" customWidth="1"/>
    <col min="7688" max="7688" width="10" style="1" customWidth="1"/>
    <col min="7689" max="7689" width="10.75" style="1" customWidth="1"/>
    <col min="7690" max="7690" width="10.625" style="1" customWidth="1"/>
    <col min="7691" max="7691" width="9.75" style="1" customWidth="1"/>
    <col min="7692" max="7937" width="9" style="1"/>
    <col min="7938" max="7938" width="4" style="1" customWidth="1"/>
    <col min="7939" max="7939" width="10.125" style="1" customWidth="1"/>
    <col min="7940" max="7940" width="4.875" style="1" customWidth="1"/>
    <col min="7941" max="7941" width="9.5" style="1" customWidth="1"/>
    <col min="7942" max="7942" width="8.375" style="1" customWidth="1"/>
    <col min="7943" max="7943" width="9.5" style="1" customWidth="1"/>
    <col min="7944" max="7944" width="10" style="1" customWidth="1"/>
    <col min="7945" max="7945" width="10.75" style="1" customWidth="1"/>
    <col min="7946" max="7946" width="10.625" style="1" customWidth="1"/>
    <col min="7947" max="7947" width="9.75" style="1" customWidth="1"/>
    <col min="7948" max="8193" width="9" style="1"/>
    <col min="8194" max="8194" width="4" style="1" customWidth="1"/>
    <col min="8195" max="8195" width="10.125" style="1" customWidth="1"/>
    <col min="8196" max="8196" width="4.875" style="1" customWidth="1"/>
    <col min="8197" max="8197" width="9.5" style="1" customWidth="1"/>
    <col min="8198" max="8198" width="8.375" style="1" customWidth="1"/>
    <col min="8199" max="8199" width="9.5" style="1" customWidth="1"/>
    <col min="8200" max="8200" width="10" style="1" customWidth="1"/>
    <col min="8201" max="8201" width="10.75" style="1" customWidth="1"/>
    <col min="8202" max="8202" width="10.625" style="1" customWidth="1"/>
    <col min="8203" max="8203" width="9.75" style="1" customWidth="1"/>
    <col min="8204" max="8449" width="9" style="1"/>
    <col min="8450" max="8450" width="4" style="1" customWidth="1"/>
    <col min="8451" max="8451" width="10.125" style="1" customWidth="1"/>
    <col min="8452" max="8452" width="4.875" style="1" customWidth="1"/>
    <col min="8453" max="8453" width="9.5" style="1" customWidth="1"/>
    <col min="8454" max="8454" width="8.375" style="1" customWidth="1"/>
    <col min="8455" max="8455" width="9.5" style="1" customWidth="1"/>
    <col min="8456" max="8456" width="10" style="1" customWidth="1"/>
    <col min="8457" max="8457" width="10.75" style="1" customWidth="1"/>
    <col min="8458" max="8458" width="10.625" style="1" customWidth="1"/>
    <col min="8459" max="8459" width="9.75" style="1" customWidth="1"/>
    <col min="8460" max="8705" width="9" style="1"/>
    <col min="8706" max="8706" width="4" style="1" customWidth="1"/>
    <col min="8707" max="8707" width="10.125" style="1" customWidth="1"/>
    <col min="8708" max="8708" width="4.875" style="1" customWidth="1"/>
    <col min="8709" max="8709" width="9.5" style="1" customWidth="1"/>
    <col min="8710" max="8710" width="8.375" style="1" customWidth="1"/>
    <col min="8711" max="8711" width="9.5" style="1" customWidth="1"/>
    <col min="8712" max="8712" width="10" style="1" customWidth="1"/>
    <col min="8713" max="8713" width="10.75" style="1" customWidth="1"/>
    <col min="8714" max="8714" width="10.625" style="1" customWidth="1"/>
    <col min="8715" max="8715" width="9.75" style="1" customWidth="1"/>
    <col min="8716" max="8961" width="9" style="1"/>
    <col min="8962" max="8962" width="4" style="1" customWidth="1"/>
    <col min="8963" max="8963" width="10.125" style="1" customWidth="1"/>
    <col min="8964" max="8964" width="4.875" style="1" customWidth="1"/>
    <col min="8965" max="8965" width="9.5" style="1" customWidth="1"/>
    <col min="8966" max="8966" width="8.375" style="1" customWidth="1"/>
    <col min="8967" max="8967" width="9.5" style="1" customWidth="1"/>
    <col min="8968" max="8968" width="10" style="1" customWidth="1"/>
    <col min="8969" max="8969" width="10.75" style="1" customWidth="1"/>
    <col min="8970" max="8970" width="10.625" style="1" customWidth="1"/>
    <col min="8971" max="8971" width="9.75" style="1" customWidth="1"/>
    <col min="8972" max="9217" width="9" style="1"/>
    <col min="9218" max="9218" width="4" style="1" customWidth="1"/>
    <col min="9219" max="9219" width="10.125" style="1" customWidth="1"/>
    <col min="9220" max="9220" width="4.875" style="1" customWidth="1"/>
    <col min="9221" max="9221" width="9.5" style="1" customWidth="1"/>
    <col min="9222" max="9222" width="8.375" style="1" customWidth="1"/>
    <col min="9223" max="9223" width="9.5" style="1" customWidth="1"/>
    <col min="9224" max="9224" width="10" style="1" customWidth="1"/>
    <col min="9225" max="9225" width="10.75" style="1" customWidth="1"/>
    <col min="9226" max="9226" width="10.625" style="1" customWidth="1"/>
    <col min="9227" max="9227" width="9.75" style="1" customWidth="1"/>
    <col min="9228" max="9473" width="9" style="1"/>
    <col min="9474" max="9474" width="4" style="1" customWidth="1"/>
    <col min="9475" max="9475" width="10.125" style="1" customWidth="1"/>
    <col min="9476" max="9476" width="4.875" style="1" customWidth="1"/>
    <col min="9477" max="9477" width="9.5" style="1" customWidth="1"/>
    <col min="9478" max="9478" width="8.375" style="1" customWidth="1"/>
    <col min="9479" max="9479" width="9.5" style="1" customWidth="1"/>
    <col min="9480" max="9480" width="10" style="1" customWidth="1"/>
    <col min="9481" max="9481" width="10.75" style="1" customWidth="1"/>
    <col min="9482" max="9482" width="10.625" style="1" customWidth="1"/>
    <col min="9483" max="9483" width="9.75" style="1" customWidth="1"/>
    <col min="9484" max="9729" width="9" style="1"/>
    <col min="9730" max="9730" width="4" style="1" customWidth="1"/>
    <col min="9731" max="9731" width="10.125" style="1" customWidth="1"/>
    <col min="9732" max="9732" width="4.875" style="1" customWidth="1"/>
    <col min="9733" max="9733" width="9.5" style="1" customWidth="1"/>
    <col min="9734" max="9734" width="8.375" style="1" customWidth="1"/>
    <col min="9735" max="9735" width="9.5" style="1" customWidth="1"/>
    <col min="9736" max="9736" width="10" style="1" customWidth="1"/>
    <col min="9737" max="9737" width="10.75" style="1" customWidth="1"/>
    <col min="9738" max="9738" width="10.625" style="1" customWidth="1"/>
    <col min="9739" max="9739" width="9.75" style="1" customWidth="1"/>
    <col min="9740" max="9985" width="9" style="1"/>
    <col min="9986" max="9986" width="4" style="1" customWidth="1"/>
    <col min="9987" max="9987" width="10.125" style="1" customWidth="1"/>
    <col min="9988" max="9988" width="4.875" style="1" customWidth="1"/>
    <col min="9989" max="9989" width="9.5" style="1" customWidth="1"/>
    <col min="9990" max="9990" width="8.375" style="1" customWidth="1"/>
    <col min="9991" max="9991" width="9.5" style="1" customWidth="1"/>
    <col min="9992" max="9992" width="10" style="1" customWidth="1"/>
    <col min="9993" max="9993" width="10.75" style="1" customWidth="1"/>
    <col min="9994" max="9994" width="10.625" style="1" customWidth="1"/>
    <col min="9995" max="9995" width="9.75" style="1" customWidth="1"/>
    <col min="9996" max="10241" width="9" style="1"/>
    <col min="10242" max="10242" width="4" style="1" customWidth="1"/>
    <col min="10243" max="10243" width="10.125" style="1" customWidth="1"/>
    <col min="10244" max="10244" width="4.875" style="1" customWidth="1"/>
    <col min="10245" max="10245" width="9.5" style="1" customWidth="1"/>
    <col min="10246" max="10246" width="8.375" style="1" customWidth="1"/>
    <col min="10247" max="10247" width="9.5" style="1" customWidth="1"/>
    <col min="10248" max="10248" width="10" style="1" customWidth="1"/>
    <col min="10249" max="10249" width="10.75" style="1" customWidth="1"/>
    <col min="10250" max="10250" width="10.625" style="1" customWidth="1"/>
    <col min="10251" max="10251" width="9.75" style="1" customWidth="1"/>
    <col min="10252" max="10497" width="9" style="1"/>
    <col min="10498" max="10498" width="4" style="1" customWidth="1"/>
    <col min="10499" max="10499" width="10.125" style="1" customWidth="1"/>
    <col min="10500" max="10500" width="4.875" style="1" customWidth="1"/>
    <col min="10501" max="10501" width="9.5" style="1" customWidth="1"/>
    <col min="10502" max="10502" width="8.375" style="1" customWidth="1"/>
    <col min="10503" max="10503" width="9.5" style="1" customWidth="1"/>
    <col min="10504" max="10504" width="10" style="1" customWidth="1"/>
    <col min="10505" max="10505" width="10.75" style="1" customWidth="1"/>
    <col min="10506" max="10506" width="10.625" style="1" customWidth="1"/>
    <col min="10507" max="10507" width="9.75" style="1" customWidth="1"/>
    <col min="10508" max="10753" width="9" style="1"/>
    <col min="10754" max="10754" width="4" style="1" customWidth="1"/>
    <col min="10755" max="10755" width="10.125" style="1" customWidth="1"/>
    <col min="10756" max="10756" width="4.875" style="1" customWidth="1"/>
    <col min="10757" max="10757" width="9.5" style="1" customWidth="1"/>
    <col min="10758" max="10758" width="8.375" style="1" customWidth="1"/>
    <col min="10759" max="10759" width="9.5" style="1" customWidth="1"/>
    <col min="10760" max="10760" width="10" style="1" customWidth="1"/>
    <col min="10761" max="10761" width="10.75" style="1" customWidth="1"/>
    <col min="10762" max="10762" width="10.625" style="1" customWidth="1"/>
    <col min="10763" max="10763" width="9.75" style="1" customWidth="1"/>
    <col min="10764" max="11009" width="9" style="1"/>
    <col min="11010" max="11010" width="4" style="1" customWidth="1"/>
    <col min="11011" max="11011" width="10.125" style="1" customWidth="1"/>
    <col min="11012" max="11012" width="4.875" style="1" customWidth="1"/>
    <col min="11013" max="11013" width="9.5" style="1" customWidth="1"/>
    <col min="11014" max="11014" width="8.375" style="1" customWidth="1"/>
    <col min="11015" max="11015" width="9.5" style="1" customWidth="1"/>
    <col min="11016" max="11016" width="10" style="1" customWidth="1"/>
    <col min="11017" max="11017" width="10.75" style="1" customWidth="1"/>
    <col min="11018" max="11018" width="10.625" style="1" customWidth="1"/>
    <col min="11019" max="11019" width="9.75" style="1" customWidth="1"/>
    <col min="11020" max="11265" width="9" style="1"/>
    <col min="11266" max="11266" width="4" style="1" customWidth="1"/>
    <col min="11267" max="11267" width="10.125" style="1" customWidth="1"/>
    <col min="11268" max="11268" width="4.875" style="1" customWidth="1"/>
    <col min="11269" max="11269" width="9.5" style="1" customWidth="1"/>
    <col min="11270" max="11270" width="8.375" style="1" customWidth="1"/>
    <col min="11271" max="11271" width="9.5" style="1" customWidth="1"/>
    <col min="11272" max="11272" width="10" style="1" customWidth="1"/>
    <col min="11273" max="11273" width="10.75" style="1" customWidth="1"/>
    <col min="11274" max="11274" width="10.625" style="1" customWidth="1"/>
    <col min="11275" max="11275" width="9.75" style="1" customWidth="1"/>
    <col min="11276" max="11521" width="9" style="1"/>
    <col min="11522" max="11522" width="4" style="1" customWidth="1"/>
    <col min="11523" max="11523" width="10.125" style="1" customWidth="1"/>
    <col min="11524" max="11524" width="4.875" style="1" customWidth="1"/>
    <col min="11525" max="11525" width="9.5" style="1" customWidth="1"/>
    <col min="11526" max="11526" width="8.375" style="1" customWidth="1"/>
    <col min="11527" max="11527" width="9.5" style="1" customWidth="1"/>
    <col min="11528" max="11528" width="10" style="1" customWidth="1"/>
    <col min="11529" max="11529" width="10.75" style="1" customWidth="1"/>
    <col min="11530" max="11530" width="10.625" style="1" customWidth="1"/>
    <col min="11531" max="11531" width="9.75" style="1" customWidth="1"/>
    <col min="11532" max="11777" width="9" style="1"/>
    <col min="11778" max="11778" width="4" style="1" customWidth="1"/>
    <col min="11779" max="11779" width="10.125" style="1" customWidth="1"/>
    <col min="11780" max="11780" width="4.875" style="1" customWidth="1"/>
    <col min="11781" max="11781" width="9.5" style="1" customWidth="1"/>
    <col min="11782" max="11782" width="8.375" style="1" customWidth="1"/>
    <col min="11783" max="11783" width="9.5" style="1" customWidth="1"/>
    <col min="11784" max="11784" width="10" style="1" customWidth="1"/>
    <col min="11785" max="11785" width="10.75" style="1" customWidth="1"/>
    <col min="11786" max="11786" width="10.625" style="1" customWidth="1"/>
    <col min="11787" max="11787" width="9.75" style="1" customWidth="1"/>
    <col min="11788" max="12033" width="9" style="1"/>
    <col min="12034" max="12034" width="4" style="1" customWidth="1"/>
    <col min="12035" max="12035" width="10.125" style="1" customWidth="1"/>
    <col min="12036" max="12036" width="4.875" style="1" customWidth="1"/>
    <col min="12037" max="12037" width="9.5" style="1" customWidth="1"/>
    <col min="12038" max="12038" width="8.375" style="1" customWidth="1"/>
    <col min="12039" max="12039" width="9.5" style="1" customWidth="1"/>
    <col min="12040" max="12040" width="10" style="1" customWidth="1"/>
    <col min="12041" max="12041" width="10.75" style="1" customWidth="1"/>
    <col min="12042" max="12042" width="10.625" style="1" customWidth="1"/>
    <col min="12043" max="12043" width="9.75" style="1" customWidth="1"/>
    <col min="12044" max="12289" width="9" style="1"/>
    <col min="12290" max="12290" width="4" style="1" customWidth="1"/>
    <col min="12291" max="12291" width="10.125" style="1" customWidth="1"/>
    <col min="12292" max="12292" width="4.875" style="1" customWidth="1"/>
    <col min="12293" max="12293" width="9.5" style="1" customWidth="1"/>
    <col min="12294" max="12294" width="8.375" style="1" customWidth="1"/>
    <col min="12295" max="12295" width="9.5" style="1" customWidth="1"/>
    <col min="12296" max="12296" width="10" style="1" customWidth="1"/>
    <col min="12297" max="12297" width="10.75" style="1" customWidth="1"/>
    <col min="12298" max="12298" width="10.625" style="1" customWidth="1"/>
    <col min="12299" max="12299" width="9.75" style="1" customWidth="1"/>
    <col min="12300" max="12545" width="9" style="1"/>
    <col min="12546" max="12546" width="4" style="1" customWidth="1"/>
    <col min="12547" max="12547" width="10.125" style="1" customWidth="1"/>
    <col min="12548" max="12548" width="4.875" style="1" customWidth="1"/>
    <col min="12549" max="12549" width="9.5" style="1" customWidth="1"/>
    <col min="12550" max="12550" width="8.375" style="1" customWidth="1"/>
    <col min="12551" max="12551" width="9.5" style="1" customWidth="1"/>
    <col min="12552" max="12552" width="10" style="1" customWidth="1"/>
    <col min="12553" max="12553" width="10.75" style="1" customWidth="1"/>
    <col min="12554" max="12554" width="10.625" style="1" customWidth="1"/>
    <col min="12555" max="12555" width="9.75" style="1" customWidth="1"/>
    <col min="12556" max="12801" width="9" style="1"/>
    <col min="12802" max="12802" width="4" style="1" customWidth="1"/>
    <col min="12803" max="12803" width="10.125" style="1" customWidth="1"/>
    <col min="12804" max="12804" width="4.875" style="1" customWidth="1"/>
    <col min="12805" max="12805" width="9.5" style="1" customWidth="1"/>
    <col min="12806" max="12806" width="8.375" style="1" customWidth="1"/>
    <col min="12807" max="12807" width="9.5" style="1" customWidth="1"/>
    <col min="12808" max="12808" width="10" style="1" customWidth="1"/>
    <col min="12809" max="12809" width="10.75" style="1" customWidth="1"/>
    <col min="12810" max="12810" width="10.625" style="1" customWidth="1"/>
    <col min="12811" max="12811" width="9.75" style="1" customWidth="1"/>
    <col min="12812" max="13057" width="9" style="1"/>
    <col min="13058" max="13058" width="4" style="1" customWidth="1"/>
    <col min="13059" max="13059" width="10.125" style="1" customWidth="1"/>
    <col min="13060" max="13060" width="4.875" style="1" customWidth="1"/>
    <col min="13061" max="13061" width="9.5" style="1" customWidth="1"/>
    <col min="13062" max="13062" width="8.375" style="1" customWidth="1"/>
    <col min="13063" max="13063" width="9.5" style="1" customWidth="1"/>
    <col min="13064" max="13064" width="10" style="1" customWidth="1"/>
    <col min="13065" max="13065" width="10.75" style="1" customWidth="1"/>
    <col min="13066" max="13066" width="10.625" style="1" customWidth="1"/>
    <col min="13067" max="13067" width="9.75" style="1" customWidth="1"/>
    <col min="13068" max="13313" width="9" style="1"/>
    <col min="13314" max="13314" width="4" style="1" customWidth="1"/>
    <col min="13315" max="13315" width="10.125" style="1" customWidth="1"/>
    <col min="13316" max="13316" width="4.875" style="1" customWidth="1"/>
    <col min="13317" max="13317" width="9.5" style="1" customWidth="1"/>
    <col min="13318" max="13318" width="8.375" style="1" customWidth="1"/>
    <col min="13319" max="13319" width="9.5" style="1" customWidth="1"/>
    <col min="13320" max="13320" width="10" style="1" customWidth="1"/>
    <col min="13321" max="13321" width="10.75" style="1" customWidth="1"/>
    <col min="13322" max="13322" width="10.625" style="1" customWidth="1"/>
    <col min="13323" max="13323" width="9.75" style="1" customWidth="1"/>
    <col min="13324" max="13569" width="9" style="1"/>
    <col min="13570" max="13570" width="4" style="1" customWidth="1"/>
    <col min="13571" max="13571" width="10.125" style="1" customWidth="1"/>
    <col min="13572" max="13572" width="4.875" style="1" customWidth="1"/>
    <col min="13573" max="13573" width="9.5" style="1" customWidth="1"/>
    <col min="13574" max="13574" width="8.375" style="1" customWidth="1"/>
    <col min="13575" max="13575" width="9.5" style="1" customWidth="1"/>
    <col min="13576" max="13576" width="10" style="1" customWidth="1"/>
    <col min="13577" max="13577" width="10.75" style="1" customWidth="1"/>
    <col min="13578" max="13578" width="10.625" style="1" customWidth="1"/>
    <col min="13579" max="13579" width="9.75" style="1" customWidth="1"/>
    <col min="13580" max="13825" width="9" style="1"/>
    <col min="13826" max="13826" width="4" style="1" customWidth="1"/>
    <col min="13827" max="13827" width="10.125" style="1" customWidth="1"/>
    <col min="13828" max="13828" width="4.875" style="1" customWidth="1"/>
    <col min="13829" max="13829" width="9.5" style="1" customWidth="1"/>
    <col min="13830" max="13830" width="8.375" style="1" customWidth="1"/>
    <col min="13831" max="13831" width="9.5" style="1" customWidth="1"/>
    <col min="13832" max="13832" width="10" style="1" customWidth="1"/>
    <col min="13833" max="13833" width="10.75" style="1" customWidth="1"/>
    <col min="13834" max="13834" width="10.625" style="1" customWidth="1"/>
    <col min="13835" max="13835" width="9.75" style="1" customWidth="1"/>
    <col min="13836" max="14081" width="9" style="1"/>
    <col min="14082" max="14082" width="4" style="1" customWidth="1"/>
    <col min="14083" max="14083" width="10.125" style="1" customWidth="1"/>
    <col min="14084" max="14084" width="4.875" style="1" customWidth="1"/>
    <col min="14085" max="14085" width="9.5" style="1" customWidth="1"/>
    <col min="14086" max="14086" width="8.375" style="1" customWidth="1"/>
    <col min="14087" max="14087" width="9.5" style="1" customWidth="1"/>
    <col min="14088" max="14088" width="10" style="1" customWidth="1"/>
    <col min="14089" max="14089" width="10.75" style="1" customWidth="1"/>
    <col min="14090" max="14090" width="10.625" style="1" customWidth="1"/>
    <col min="14091" max="14091" width="9.75" style="1" customWidth="1"/>
    <col min="14092" max="14337" width="9" style="1"/>
    <col min="14338" max="14338" width="4" style="1" customWidth="1"/>
    <col min="14339" max="14339" width="10.125" style="1" customWidth="1"/>
    <col min="14340" max="14340" width="4.875" style="1" customWidth="1"/>
    <col min="14341" max="14341" width="9.5" style="1" customWidth="1"/>
    <col min="14342" max="14342" width="8.375" style="1" customWidth="1"/>
    <col min="14343" max="14343" width="9.5" style="1" customWidth="1"/>
    <col min="14344" max="14344" width="10" style="1" customWidth="1"/>
    <col min="14345" max="14345" width="10.75" style="1" customWidth="1"/>
    <col min="14346" max="14346" width="10.625" style="1" customWidth="1"/>
    <col min="14347" max="14347" width="9.75" style="1" customWidth="1"/>
    <col min="14348" max="14593" width="9" style="1"/>
    <col min="14594" max="14594" width="4" style="1" customWidth="1"/>
    <col min="14595" max="14595" width="10.125" style="1" customWidth="1"/>
    <col min="14596" max="14596" width="4.875" style="1" customWidth="1"/>
    <col min="14597" max="14597" width="9.5" style="1" customWidth="1"/>
    <col min="14598" max="14598" width="8.375" style="1" customWidth="1"/>
    <col min="14599" max="14599" width="9.5" style="1" customWidth="1"/>
    <col min="14600" max="14600" width="10" style="1" customWidth="1"/>
    <col min="14601" max="14601" width="10.75" style="1" customWidth="1"/>
    <col min="14602" max="14602" width="10.625" style="1" customWidth="1"/>
    <col min="14603" max="14603" width="9.75" style="1" customWidth="1"/>
    <col min="14604" max="14849" width="9" style="1"/>
    <col min="14850" max="14850" width="4" style="1" customWidth="1"/>
    <col min="14851" max="14851" width="10.125" style="1" customWidth="1"/>
    <col min="14852" max="14852" width="4.875" style="1" customWidth="1"/>
    <col min="14853" max="14853" width="9.5" style="1" customWidth="1"/>
    <col min="14854" max="14854" width="8.375" style="1" customWidth="1"/>
    <col min="14855" max="14855" width="9.5" style="1" customWidth="1"/>
    <col min="14856" max="14856" width="10" style="1" customWidth="1"/>
    <col min="14857" max="14857" width="10.75" style="1" customWidth="1"/>
    <col min="14858" max="14858" width="10.625" style="1" customWidth="1"/>
    <col min="14859" max="14859" width="9.75" style="1" customWidth="1"/>
    <col min="14860" max="15105" width="9" style="1"/>
    <col min="15106" max="15106" width="4" style="1" customWidth="1"/>
    <col min="15107" max="15107" width="10.125" style="1" customWidth="1"/>
    <col min="15108" max="15108" width="4.875" style="1" customWidth="1"/>
    <col min="15109" max="15109" width="9.5" style="1" customWidth="1"/>
    <col min="15110" max="15110" width="8.375" style="1" customWidth="1"/>
    <col min="15111" max="15111" width="9.5" style="1" customWidth="1"/>
    <col min="15112" max="15112" width="10" style="1" customWidth="1"/>
    <col min="15113" max="15113" width="10.75" style="1" customWidth="1"/>
    <col min="15114" max="15114" width="10.625" style="1" customWidth="1"/>
    <col min="15115" max="15115" width="9.75" style="1" customWidth="1"/>
    <col min="15116" max="15361" width="9" style="1"/>
    <col min="15362" max="15362" width="4" style="1" customWidth="1"/>
    <col min="15363" max="15363" width="10.125" style="1" customWidth="1"/>
    <col min="15364" max="15364" width="4.875" style="1" customWidth="1"/>
    <col min="15365" max="15365" width="9.5" style="1" customWidth="1"/>
    <col min="15366" max="15366" width="8.375" style="1" customWidth="1"/>
    <col min="15367" max="15367" width="9.5" style="1" customWidth="1"/>
    <col min="15368" max="15368" width="10" style="1" customWidth="1"/>
    <col min="15369" max="15369" width="10.75" style="1" customWidth="1"/>
    <col min="15370" max="15370" width="10.625" style="1" customWidth="1"/>
    <col min="15371" max="15371" width="9.75" style="1" customWidth="1"/>
    <col min="15372" max="15617" width="9" style="1"/>
    <col min="15618" max="15618" width="4" style="1" customWidth="1"/>
    <col min="15619" max="15619" width="10.125" style="1" customWidth="1"/>
    <col min="15620" max="15620" width="4.875" style="1" customWidth="1"/>
    <col min="15621" max="15621" width="9.5" style="1" customWidth="1"/>
    <col min="15622" max="15622" width="8.375" style="1" customWidth="1"/>
    <col min="15623" max="15623" width="9.5" style="1" customWidth="1"/>
    <col min="15624" max="15624" width="10" style="1" customWidth="1"/>
    <col min="15625" max="15625" width="10.75" style="1" customWidth="1"/>
    <col min="15626" max="15626" width="10.625" style="1" customWidth="1"/>
    <col min="15627" max="15627" width="9.75" style="1" customWidth="1"/>
    <col min="15628" max="15873" width="9" style="1"/>
    <col min="15874" max="15874" width="4" style="1" customWidth="1"/>
    <col min="15875" max="15875" width="10.125" style="1" customWidth="1"/>
    <col min="15876" max="15876" width="4.875" style="1" customWidth="1"/>
    <col min="15877" max="15877" width="9.5" style="1" customWidth="1"/>
    <col min="15878" max="15878" width="8.375" style="1" customWidth="1"/>
    <col min="15879" max="15879" width="9.5" style="1" customWidth="1"/>
    <col min="15880" max="15880" width="10" style="1" customWidth="1"/>
    <col min="15881" max="15881" width="10.75" style="1" customWidth="1"/>
    <col min="15882" max="15882" width="10.625" style="1" customWidth="1"/>
    <col min="15883" max="15883" width="9.75" style="1" customWidth="1"/>
    <col min="15884" max="16129" width="9" style="1"/>
    <col min="16130" max="16130" width="4" style="1" customWidth="1"/>
    <col min="16131" max="16131" width="10.125" style="1" customWidth="1"/>
    <col min="16132" max="16132" width="4.875" style="1" customWidth="1"/>
    <col min="16133" max="16133" width="9.5" style="1" customWidth="1"/>
    <col min="16134" max="16134" width="8.375" style="1" customWidth="1"/>
    <col min="16135" max="16135" width="9.5" style="1" customWidth="1"/>
    <col min="16136" max="16136" width="10" style="1" customWidth="1"/>
    <col min="16137" max="16137" width="10.75" style="1" customWidth="1"/>
    <col min="16138" max="16138" width="10.625" style="1" customWidth="1"/>
    <col min="16139" max="16139" width="9.75" style="1" customWidth="1"/>
    <col min="16140" max="16384" width="9" style="1"/>
  </cols>
  <sheetData>
    <row r="1" spans="1:16" ht="51.95" customHeight="1">
      <c r="A1" s="31" t="s">
        <v>0</v>
      </c>
      <c r="B1" s="31"/>
      <c r="C1" s="31"/>
      <c r="D1" s="31"/>
      <c r="E1" s="31"/>
      <c r="F1" s="31"/>
      <c r="G1" s="32"/>
      <c r="H1" s="31"/>
      <c r="I1" s="31"/>
      <c r="J1" s="31"/>
      <c r="K1" s="31"/>
      <c r="L1" s="31"/>
    </row>
    <row r="2" spans="1:16" ht="22.5">
      <c r="A2" s="33" t="s">
        <v>1</v>
      </c>
      <c r="B2" s="33"/>
      <c r="C2" s="33"/>
      <c r="D2" s="33"/>
      <c r="E2" s="33"/>
      <c r="F2" s="33"/>
      <c r="G2" s="34"/>
      <c r="H2" s="33"/>
      <c r="I2" s="33"/>
      <c r="J2" s="33"/>
      <c r="K2" s="33"/>
      <c r="L2" s="33"/>
      <c r="M2" s="2"/>
      <c r="N2" s="3"/>
      <c r="O2" s="3"/>
      <c r="P2" s="3"/>
    </row>
    <row r="3" spans="1:16" ht="16.5">
      <c r="A3" s="35" t="s">
        <v>2</v>
      </c>
      <c r="B3" s="35"/>
      <c r="C3" s="35"/>
      <c r="D3" s="36" t="s">
        <v>3</v>
      </c>
      <c r="E3" s="36"/>
      <c r="F3" s="36"/>
      <c r="G3" s="37"/>
      <c r="H3" s="38">
        <v>45963</v>
      </c>
      <c r="I3" s="39"/>
      <c r="J3" s="39"/>
      <c r="K3" s="39"/>
      <c r="L3" s="40"/>
      <c r="M3" s="4"/>
      <c r="N3" s="23" t="s">
        <v>4</v>
      </c>
      <c r="O3" s="3"/>
      <c r="P3" s="3"/>
    </row>
    <row r="4" spans="1:16" ht="16.5">
      <c r="A4" s="41" t="s">
        <v>5</v>
      </c>
      <c r="B4" s="41"/>
      <c r="C4" s="24" t="s">
        <v>6</v>
      </c>
      <c r="D4" s="24" t="s">
        <v>7</v>
      </c>
      <c r="E4" s="24" t="s">
        <v>8</v>
      </c>
      <c r="F4" s="24" t="s">
        <v>9</v>
      </c>
      <c r="G4" s="25" t="s">
        <v>10</v>
      </c>
      <c r="H4" s="24" t="s">
        <v>11</v>
      </c>
      <c r="I4" s="26" t="s">
        <v>12</v>
      </c>
      <c r="J4" s="27" t="s">
        <v>13</v>
      </c>
      <c r="K4" s="27" t="s">
        <v>14</v>
      </c>
      <c r="L4" s="28" t="s">
        <v>15</v>
      </c>
      <c r="N4" s="23" t="s">
        <v>16</v>
      </c>
      <c r="O4" s="3"/>
      <c r="P4" s="3"/>
    </row>
    <row r="5" spans="1:16" ht="49.5">
      <c r="A5" s="25" t="s">
        <v>17</v>
      </c>
      <c r="B5" s="24" t="s">
        <v>18</v>
      </c>
      <c r="C5" s="24" t="s">
        <v>19</v>
      </c>
      <c r="D5" s="29" t="s">
        <v>20</v>
      </c>
      <c r="E5" s="29" t="s">
        <v>20</v>
      </c>
      <c r="F5" s="29" t="s">
        <v>20</v>
      </c>
      <c r="G5" s="20" t="s">
        <v>21</v>
      </c>
      <c r="H5" s="20" t="s">
        <v>22</v>
      </c>
      <c r="I5" s="20" t="s">
        <v>23</v>
      </c>
      <c r="J5" s="20" t="s">
        <v>24</v>
      </c>
      <c r="K5" s="20" t="s">
        <v>25</v>
      </c>
      <c r="L5" s="6" t="s">
        <v>26</v>
      </c>
      <c r="N5" s="3"/>
      <c r="O5" s="3"/>
      <c r="P5" s="3"/>
    </row>
    <row r="6" spans="1:16" ht="33">
      <c r="A6" s="45" t="s">
        <v>27</v>
      </c>
      <c r="B6" s="24" t="s">
        <v>28</v>
      </c>
      <c r="C6" s="24" t="s">
        <v>29</v>
      </c>
      <c r="D6" s="29" t="s">
        <v>20</v>
      </c>
      <c r="E6" s="29" t="s">
        <v>20</v>
      </c>
      <c r="F6" s="29" t="s">
        <v>20</v>
      </c>
      <c r="G6" s="20" t="s">
        <v>30</v>
      </c>
      <c r="H6" s="6" t="s">
        <v>31</v>
      </c>
      <c r="I6" s="6" t="s">
        <v>32</v>
      </c>
      <c r="J6" s="6" t="s">
        <v>33</v>
      </c>
      <c r="K6" s="6" t="s">
        <v>34</v>
      </c>
      <c r="L6" s="6" t="s">
        <v>35</v>
      </c>
      <c r="N6" s="9"/>
      <c r="O6" s="3"/>
      <c r="P6" s="3"/>
    </row>
    <row r="7" spans="1:16" ht="33">
      <c r="A7" s="45"/>
      <c r="B7" s="24" t="s">
        <v>36</v>
      </c>
      <c r="C7" s="24" t="s">
        <v>29</v>
      </c>
      <c r="D7" s="29" t="s">
        <v>20</v>
      </c>
      <c r="E7" s="29" t="s">
        <v>20</v>
      </c>
      <c r="F7" s="29" t="s">
        <v>20</v>
      </c>
      <c r="G7" s="20" t="s">
        <v>37</v>
      </c>
      <c r="H7" s="6" t="s">
        <v>38</v>
      </c>
      <c r="I7" s="6" t="s">
        <v>39</v>
      </c>
      <c r="J7" s="6" t="s">
        <v>40</v>
      </c>
      <c r="K7" s="6" t="s">
        <v>41</v>
      </c>
      <c r="L7" s="6" t="s">
        <v>42</v>
      </c>
      <c r="N7" s="3"/>
      <c r="O7" s="3"/>
      <c r="P7" s="3"/>
    </row>
    <row r="8" spans="1:16" ht="16.5">
      <c r="A8" s="45"/>
      <c r="B8" s="24" t="s">
        <v>43</v>
      </c>
      <c r="C8" s="24" t="s">
        <v>44</v>
      </c>
      <c r="D8" s="5" t="s">
        <v>45</v>
      </c>
      <c r="E8" s="5" t="s">
        <v>46</v>
      </c>
      <c r="F8" s="5" t="s">
        <v>47</v>
      </c>
      <c r="G8" s="20" t="s">
        <v>48</v>
      </c>
      <c r="H8" s="6" t="s">
        <v>49</v>
      </c>
      <c r="I8" s="6" t="s">
        <v>50</v>
      </c>
      <c r="J8" s="6" t="s">
        <v>51</v>
      </c>
      <c r="K8" s="6" t="s">
        <v>52</v>
      </c>
      <c r="L8" s="6" t="s">
        <v>53</v>
      </c>
      <c r="N8" s="13"/>
      <c r="O8" s="3"/>
      <c r="P8" s="3"/>
    </row>
    <row r="9" spans="1:16" ht="16.5">
      <c r="A9" s="24" t="s">
        <v>54</v>
      </c>
      <c r="B9" s="24" t="s">
        <v>55</v>
      </c>
      <c r="C9" s="24" t="s">
        <v>56</v>
      </c>
      <c r="D9" s="29" t="s">
        <v>20</v>
      </c>
      <c r="E9" s="29" t="s">
        <v>20</v>
      </c>
      <c r="F9" s="29" t="s">
        <v>20</v>
      </c>
      <c r="G9" s="20" t="s">
        <v>57</v>
      </c>
      <c r="H9" s="6" t="s">
        <v>58</v>
      </c>
      <c r="I9" s="6" t="s">
        <v>59</v>
      </c>
      <c r="J9" s="6" t="s">
        <v>60</v>
      </c>
      <c r="K9" s="6" t="s">
        <v>61</v>
      </c>
      <c r="L9" s="6" t="s">
        <v>62</v>
      </c>
      <c r="N9" s="3"/>
      <c r="O9" s="3"/>
      <c r="P9" s="3"/>
    </row>
    <row r="10" spans="1:16" ht="33">
      <c r="A10" s="45" t="s">
        <v>63</v>
      </c>
      <c r="B10" s="24" t="s">
        <v>64</v>
      </c>
      <c r="C10" s="24" t="s">
        <v>19</v>
      </c>
      <c r="D10" s="29" t="s">
        <v>20</v>
      </c>
      <c r="E10" s="29" t="s">
        <v>20</v>
      </c>
      <c r="F10" s="29" t="s">
        <v>20</v>
      </c>
      <c r="G10" s="20" t="s">
        <v>65</v>
      </c>
      <c r="H10" s="6" t="s">
        <v>66</v>
      </c>
      <c r="I10" s="6" t="s">
        <v>67</v>
      </c>
      <c r="J10" s="6" t="s">
        <v>68</v>
      </c>
      <c r="K10" s="6" t="s">
        <v>69</v>
      </c>
      <c r="L10" s="6" t="s">
        <v>70</v>
      </c>
      <c r="M10" s="3"/>
      <c r="N10" s="3"/>
      <c r="O10" s="3"/>
      <c r="P10" s="3"/>
    </row>
    <row r="11" spans="1:16" ht="33">
      <c r="A11" s="45"/>
      <c r="B11" s="24" t="s">
        <v>71</v>
      </c>
      <c r="C11" s="24" t="s">
        <v>19</v>
      </c>
      <c r="D11" s="29" t="s">
        <v>20</v>
      </c>
      <c r="E11" s="29" t="s">
        <v>20</v>
      </c>
      <c r="F11" s="29" t="s">
        <v>20</v>
      </c>
      <c r="G11" s="20" t="s">
        <v>72</v>
      </c>
      <c r="H11" s="6" t="s">
        <v>73</v>
      </c>
      <c r="I11" s="6" t="s">
        <v>74</v>
      </c>
      <c r="J11" s="6" t="s">
        <v>75</v>
      </c>
      <c r="K11" s="6" t="s">
        <v>76</v>
      </c>
      <c r="L11" s="6" t="s">
        <v>77</v>
      </c>
      <c r="M11" s="3"/>
      <c r="N11" s="3"/>
      <c r="O11" s="3"/>
      <c r="P11" s="3"/>
    </row>
    <row r="12" spans="1:16" ht="33">
      <c r="A12" s="45"/>
      <c r="B12" s="24" t="s">
        <v>78</v>
      </c>
      <c r="C12" s="24" t="s">
        <v>19</v>
      </c>
      <c r="D12" s="29" t="s">
        <v>20</v>
      </c>
      <c r="E12" s="29" t="s">
        <v>20</v>
      </c>
      <c r="F12" s="29" t="s">
        <v>20</v>
      </c>
      <c r="G12" s="20" t="s">
        <v>79</v>
      </c>
      <c r="H12" s="6" t="s">
        <v>80</v>
      </c>
      <c r="I12" s="6" t="s">
        <v>81</v>
      </c>
      <c r="J12" s="6" t="s">
        <v>82</v>
      </c>
      <c r="K12" s="6" t="s">
        <v>83</v>
      </c>
      <c r="L12" s="6" t="s">
        <v>84</v>
      </c>
      <c r="M12" s="3"/>
      <c r="N12" s="3"/>
      <c r="O12" s="3"/>
      <c r="P12" s="3"/>
    </row>
    <row r="13" spans="1:16" ht="33">
      <c r="A13" s="45"/>
      <c r="B13" s="24" t="s">
        <v>85</v>
      </c>
      <c r="C13" s="24" t="s">
        <v>19</v>
      </c>
      <c r="D13" s="29" t="s">
        <v>20</v>
      </c>
      <c r="E13" s="29" t="s">
        <v>20</v>
      </c>
      <c r="F13" s="29" t="s">
        <v>20</v>
      </c>
      <c r="G13" s="20" t="s">
        <v>86</v>
      </c>
      <c r="H13" s="6" t="s">
        <v>87</v>
      </c>
      <c r="I13" s="6" t="s">
        <v>88</v>
      </c>
      <c r="J13" s="6" t="s">
        <v>89</v>
      </c>
      <c r="K13" s="6" t="s">
        <v>90</v>
      </c>
      <c r="L13" s="6" t="s">
        <v>91</v>
      </c>
      <c r="M13" s="3"/>
    </row>
    <row r="14" spans="1:16" ht="33">
      <c r="A14" s="45"/>
      <c r="B14" s="24" t="s">
        <v>92</v>
      </c>
      <c r="C14" s="24" t="s">
        <v>19</v>
      </c>
      <c r="D14" s="29" t="s">
        <v>20</v>
      </c>
      <c r="E14" s="29" t="s">
        <v>20</v>
      </c>
      <c r="F14" s="29" t="s">
        <v>20</v>
      </c>
      <c r="G14" s="20" t="s">
        <v>93</v>
      </c>
      <c r="H14" s="6" t="s">
        <v>94</v>
      </c>
      <c r="I14" s="6" t="s">
        <v>95</v>
      </c>
      <c r="J14" s="6" t="s">
        <v>96</v>
      </c>
      <c r="K14" s="6" t="s">
        <v>97</v>
      </c>
      <c r="L14" s="6" t="s">
        <v>98</v>
      </c>
      <c r="M14" s="3"/>
    </row>
    <row r="15" spans="1:16" ht="33">
      <c r="A15" s="45" t="s">
        <v>99</v>
      </c>
      <c r="B15" s="24" t="s">
        <v>100</v>
      </c>
      <c r="C15" s="24" t="s">
        <v>29</v>
      </c>
      <c r="D15" s="29" t="s">
        <v>20</v>
      </c>
      <c r="E15" s="29" t="s">
        <v>20</v>
      </c>
      <c r="F15" s="29" t="s">
        <v>20</v>
      </c>
      <c r="G15" s="20" t="s">
        <v>101</v>
      </c>
      <c r="H15" s="6" t="s">
        <v>102</v>
      </c>
      <c r="I15" s="6" t="s">
        <v>103</v>
      </c>
      <c r="J15" s="6" t="s">
        <v>104</v>
      </c>
      <c r="K15" s="6" t="s">
        <v>105</v>
      </c>
      <c r="L15" s="6" t="s">
        <v>106</v>
      </c>
      <c r="M15" s="3"/>
      <c r="N15" s="3"/>
      <c r="O15" s="3"/>
      <c r="P15" s="3"/>
    </row>
    <row r="16" spans="1:16" ht="33">
      <c r="A16" s="45"/>
      <c r="B16" s="24" t="s">
        <v>107</v>
      </c>
      <c r="C16" s="24" t="s">
        <v>29</v>
      </c>
      <c r="D16" s="29" t="s">
        <v>20</v>
      </c>
      <c r="E16" s="29" t="s">
        <v>20</v>
      </c>
      <c r="F16" s="29" t="s">
        <v>20</v>
      </c>
      <c r="G16" s="20" t="s">
        <v>108</v>
      </c>
      <c r="H16" s="6" t="s">
        <v>109</v>
      </c>
      <c r="I16" s="6" t="s">
        <v>110</v>
      </c>
      <c r="J16" s="6" t="s">
        <v>111</v>
      </c>
      <c r="K16" s="6" t="s">
        <v>112</v>
      </c>
      <c r="L16" s="6" t="s">
        <v>113</v>
      </c>
      <c r="M16" s="3"/>
      <c r="N16" s="3"/>
      <c r="O16" s="3"/>
      <c r="P16" s="3"/>
    </row>
    <row r="17" spans="1:16" ht="33">
      <c r="A17" s="45"/>
      <c r="B17" s="24" t="s">
        <v>114</v>
      </c>
      <c r="C17" s="24" t="s">
        <v>29</v>
      </c>
      <c r="D17" s="29" t="s">
        <v>20</v>
      </c>
      <c r="E17" s="29" t="s">
        <v>20</v>
      </c>
      <c r="F17" s="29" t="s">
        <v>20</v>
      </c>
      <c r="G17" s="20" t="s">
        <v>115</v>
      </c>
      <c r="H17" s="6" t="s">
        <v>116</v>
      </c>
      <c r="I17" s="6" t="s">
        <v>117</v>
      </c>
      <c r="J17" s="6" t="s">
        <v>118</v>
      </c>
      <c r="K17" s="6" t="s">
        <v>119</v>
      </c>
      <c r="L17" s="6" t="s">
        <v>120</v>
      </c>
      <c r="M17" s="15"/>
      <c r="N17" s="16"/>
      <c r="O17" s="3"/>
      <c r="P17" s="3"/>
    </row>
    <row r="18" spans="1:16" ht="33">
      <c r="A18" s="45"/>
      <c r="B18" s="24" t="s">
        <v>121</v>
      </c>
      <c r="C18" s="24" t="s">
        <v>29</v>
      </c>
      <c r="D18" s="29" t="s">
        <v>20</v>
      </c>
      <c r="E18" s="29" t="s">
        <v>20</v>
      </c>
      <c r="F18" s="29" t="s">
        <v>20</v>
      </c>
      <c r="G18" s="20" t="s">
        <v>122</v>
      </c>
      <c r="H18" s="6" t="s">
        <v>123</v>
      </c>
      <c r="I18" s="6" t="s">
        <v>124</v>
      </c>
      <c r="J18" s="6" t="s">
        <v>125</v>
      </c>
      <c r="K18" s="6" t="s">
        <v>126</v>
      </c>
      <c r="L18" s="6" t="s">
        <v>127</v>
      </c>
      <c r="M18" s="15"/>
      <c r="N18" s="3"/>
      <c r="O18" s="3"/>
      <c r="P18" s="3"/>
    </row>
    <row r="19" spans="1:16" ht="33">
      <c r="A19" s="45" t="s">
        <v>128</v>
      </c>
      <c r="B19" s="26" t="s">
        <v>129</v>
      </c>
      <c r="C19" s="24" t="s">
        <v>130</v>
      </c>
      <c r="D19" s="29" t="s">
        <v>20</v>
      </c>
      <c r="E19" s="29" t="s">
        <v>20</v>
      </c>
      <c r="F19" s="29" t="s">
        <v>20</v>
      </c>
      <c r="G19" s="30" t="s">
        <v>131</v>
      </c>
      <c r="H19" s="6" t="s">
        <v>132</v>
      </c>
      <c r="I19" s="6" t="s">
        <v>133</v>
      </c>
      <c r="J19" s="6" t="s">
        <v>134</v>
      </c>
      <c r="K19" s="6" t="s">
        <v>135</v>
      </c>
      <c r="L19" s="6" t="s">
        <v>136</v>
      </c>
      <c r="N19" s="3"/>
      <c r="O19" s="3"/>
      <c r="P19" s="3"/>
    </row>
    <row r="20" spans="1:16" ht="33">
      <c r="A20" s="45"/>
      <c r="B20" s="26" t="s">
        <v>137</v>
      </c>
      <c r="C20" s="24" t="s">
        <v>130</v>
      </c>
      <c r="D20" s="29" t="s">
        <v>20</v>
      </c>
      <c r="E20" s="29" t="s">
        <v>20</v>
      </c>
      <c r="F20" s="29" t="s">
        <v>20</v>
      </c>
      <c r="G20" s="30" t="s">
        <v>138</v>
      </c>
      <c r="H20" s="6" t="s">
        <v>139</v>
      </c>
      <c r="I20" s="6" t="s">
        <v>140</v>
      </c>
      <c r="J20" s="6" t="s">
        <v>141</v>
      </c>
      <c r="K20" s="6" t="s">
        <v>142</v>
      </c>
      <c r="L20" s="6" t="s">
        <v>143</v>
      </c>
      <c r="N20" s="3"/>
      <c r="O20" s="3"/>
      <c r="P20" s="3"/>
    </row>
    <row r="21" spans="1:16" ht="33">
      <c r="A21" s="45"/>
      <c r="B21" s="26" t="s">
        <v>144</v>
      </c>
      <c r="C21" s="24" t="s">
        <v>130</v>
      </c>
      <c r="D21" s="29" t="s">
        <v>20</v>
      </c>
      <c r="E21" s="29" t="s">
        <v>20</v>
      </c>
      <c r="F21" s="29" t="s">
        <v>20</v>
      </c>
      <c r="G21" s="30" t="s">
        <v>145</v>
      </c>
      <c r="H21" s="6" t="s">
        <v>146</v>
      </c>
      <c r="I21" s="6" t="s">
        <v>147</v>
      </c>
      <c r="J21" s="6" t="s">
        <v>148</v>
      </c>
      <c r="K21" s="6" t="s">
        <v>149</v>
      </c>
      <c r="L21" s="6" t="s">
        <v>150</v>
      </c>
      <c r="N21" s="3"/>
      <c r="O21" s="3"/>
      <c r="P21" s="3"/>
    </row>
    <row r="22" spans="1:16" ht="33">
      <c r="A22" s="45"/>
      <c r="B22" s="26" t="s">
        <v>151</v>
      </c>
      <c r="C22" s="26" t="s">
        <v>130</v>
      </c>
      <c r="D22" s="7" t="s">
        <v>152</v>
      </c>
      <c r="E22" s="7" t="s">
        <v>153</v>
      </c>
      <c r="F22" s="7" t="s">
        <v>154</v>
      </c>
      <c r="G22" s="30" t="s">
        <v>155</v>
      </c>
      <c r="H22" s="6" t="s">
        <v>156</v>
      </c>
      <c r="I22" s="6" t="s">
        <v>157</v>
      </c>
      <c r="J22" s="6" t="s">
        <v>158</v>
      </c>
      <c r="K22" s="6" t="s">
        <v>159</v>
      </c>
      <c r="L22" s="6" t="s">
        <v>160</v>
      </c>
      <c r="N22" s="3"/>
      <c r="O22" s="3"/>
      <c r="P22" s="3"/>
    </row>
    <row r="23" spans="1:16" ht="33">
      <c r="A23" s="45"/>
      <c r="B23" s="26" t="s">
        <v>161</v>
      </c>
      <c r="C23" s="26" t="s">
        <v>130</v>
      </c>
      <c r="D23" s="29" t="s">
        <v>20</v>
      </c>
      <c r="E23" s="29" t="s">
        <v>20</v>
      </c>
      <c r="F23" s="29" t="s">
        <v>20</v>
      </c>
      <c r="G23" s="30" t="s">
        <v>162</v>
      </c>
      <c r="H23" s="6" t="s">
        <v>163</v>
      </c>
      <c r="I23" s="6" t="s">
        <v>164</v>
      </c>
      <c r="J23" s="6" t="s">
        <v>165</v>
      </c>
      <c r="K23" s="6" t="s">
        <v>166</v>
      </c>
      <c r="L23" s="6" t="s">
        <v>167</v>
      </c>
      <c r="N23" s="3"/>
      <c r="O23" s="3"/>
      <c r="P23" s="3"/>
    </row>
    <row r="24" spans="1:16" ht="33">
      <c r="A24" s="45"/>
      <c r="B24" s="26" t="s">
        <v>168</v>
      </c>
      <c r="C24" s="26" t="s">
        <v>130</v>
      </c>
      <c r="D24" s="29" t="s">
        <v>20</v>
      </c>
      <c r="E24" s="29" t="s">
        <v>20</v>
      </c>
      <c r="F24" s="29" t="s">
        <v>20</v>
      </c>
      <c r="G24" s="30" t="s">
        <v>169</v>
      </c>
      <c r="H24" s="6" t="s">
        <v>170</v>
      </c>
      <c r="I24" s="6" t="s">
        <v>171</v>
      </c>
      <c r="J24" s="6" t="s">
        <v>172</v>
      </c>
      <c r="K24" s="6" t="s">
        <v>173</v>
      </c>
      <c r="L24" s="6" t="s">
        <v>174</v>
      </c>
      <c r="N24" s="3"/>
      <c r="O24" s="3"/>
      <c r="P24" s="3"/>
    </row>
    <row r="25" spans="1:16" ht="33">
      <c r="A25" s="45"/>
      <c r="B25" s="26" t="s">
        <v>175</v>
      </c>
      <c r="C25" s="26" t="s">
        <v>130</v>
      </c>
      <c r="D25" s="29" t="s">
        <v>20</v>
      </c>
      <c r="E25" s="29" t="s">
        <v>20</v>
      </c>
      <c r="F25" s="29" t="s">
        <v>20</v>
      </c>
      <c r="G25" s="30" t="s">
        <v>176</v>
      </c>
      <c r="H25" s="6" t="s">
        <v>177</v>
      </c>
      <c r="I25" s="6" t="s">
        <v>178</v>
      </c>
      <c r="J25" s="6" t="s">
        <v>179</v>
      </c>
      <c r="K25" s="6" t="s">
        <v>180</v>
      </c>
      <c r="L25" s="6" t="s">
        <v>181</v>
      </c>
      <c r="N25" s="3"/>
      <c r="O25" s="3"/>
      <c r="P25" s="3"/>
    </row>
    <row r="26" spans="1:16" ht="33">
      <c r="A26" s="45"/>
      <c r="B26" s="26" t="s">
        <v>151</v>
      </c>
      <c r="C26" s="26" t="s">
        <v>130</v>
      </c>
      <c r="D26" s="30" t="s">
        <v>182</v>
      </c>
      <c r="E26" s="30" t="s">
        <v>183</v>
      </c>
      <c r="F26" s="30" t="s">
        <v>184</v>
      </c>
      <c r="G26" s="30" t="s">
        <v>155</v>
      </c>
      <c r="H26" s="18" t="s">
        <v>156</v>
      </c>
      <c r="I26" s="18" t="s">
        <v>157</v>
      </c>
      <c r="J26" s="18" t="s">
        <v>158</v>
      </c>
      <c r="K26" s="18" t="s">
        <v>159</v>
      </c>
      <c r="L26" s="18" t="s">
        <v>160</v>
      </c>
      <c r="N26" s="3"/>
      <c r="O26" s="19"/>
      <c r="P26" s="3"/>
    </row>
    <row r="27" spans="1:16" ht="33">
      <c r="A27" s="25" t="s">
        <v>185</v>
      </c>
      <c r="B27" s="42" t="s">
        <v>20</v>
      </c>
      <c r="C27" s="42"/>
      <c r="D27" s="42"/>
      <c r="E27" s="42"/>
      <c r="F27" s="42"/>
      <c r="G27" s="42"/>
      <c r="H27" s="42"/>
      <c r="I27" s="42"/>
      <c r="J27" s="42"/>
      <c r="K27" s="42"/>
      <c r="L27" s="42"/>
      <c r="M27" s="21"/>
      <c r="N27" s="3"/>
      <c r="O27" s="3"/>
      <c r="P27" s="3"/>
    </row>
    <row r="28" spans="1:16" ht="16.5">
      <c r="A28" s="43" t="s">
        <v>186</v>
      </c>
      <c r="B28" s="43"/>
      <c r="C28" s="43"/>
      <c r="D28" s="43"/>
      <c r="E28" s="43"/>
      <c r="F28" s="43"/>
      <c r="G28" s="44"/>
      <c r="H28" s="43"/>
      <c r="I28" s="43"/>
      <c r="J28" s="43"/>
      <c r="K28" s="43"/>
      <c r="L28" s="43"/>
    </row>
  </sheetData>
  <mergeCells count="12">
    <mergeCell ref="A4:B4"/>
    <mergeCell ref="B27:L27"/>
    <mergeCell ref="A28:L28"/>
    <mergeCell ref="A6:A8"/>
    <mergeCell ref="A10:A14"/>
    <mergeCell ref="A15:A18"/>
    <mergeCell ref="A19:A26"/>
    <mergeCell ref="A1:L1"/>
    <mergeCell ref="A2:L2"/>
    <mergeCell ref="A3:C3"/>
    <mergeCell ref="D3:G3"/>
    <mergeCell ref="H3:L3"/>
  </mergeCells>
  <phoneticPr fontId="12" type="noConversion"/>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O35"/>
  <sheetViews>
    <sheetView workbookViewId="0">
      <selection activeCell="K25" sqref="K25"/>
    </sheetView>
  </sheetViews>
  <sheetFormatPr defaultColWidth="9" defaultRowHeight="13.5"/>
  <cols>
    <col min="1" max="7" width="10.625" style="1" customWidth="1"/>
    <col min="8" max="8" width="12.5" style="1" customWidth="1"/>
    <col min="9" max="9" width="12.125" style="1" customWidth="1"/>
    <col min="10" max="10" width="9.75" style="1" customWidth="1"/>
    <col min="11" max="11" width="13.5" style="1" customWidth="1"/>
    <col min="12" max="254" width="9" style="1"/>
    <col min="255" max="255" width="4" style="1" customWidth="1"/>
    <col min="256" max="256" width="10.125" style="1" customWidth="1"/>
    <col min="257" max="257" width="4.875" style="1" customWidth="1"/>
    <col min="258" max="258" width="9.5" style="1" customWidth="1"/>
    <col min="259" max="259" width="8.375" style="1" customWidth="1"/>
    <col min="260" max="260" width="9.5" style="1" customWidth="1"/>
    <col min="261" max="261" width="10" style="1" customWidth="1"/>
    <col min="262" max="262" width="10.75" style="1" customWidth="1"/>
    <col min="263" max="263" width="10.625" style="1" customWidth="1"/>
    <col min="264" max="264" width="9.75" style="1" customWidth="1"/>
    <col min="265" max="510" width="9" style="1"/>
    <col min="511" max="511" width="4" style="1" customWidth="1"/>
    <col min="512" max="512" width="10.125" style="1" customWidth="1"/>
    <col min="513" max="513" width="4.875" style="1" customWidth="1"/>
    <col min="514" max="514" width="9.5" style="1" customWidth="1"/>
    <col min="515" max="515" width="8.375" style="1" customWidth="1"/>
    <col min="516" max="516" width="9.5" style="1" customWidth="1"/>
    <col min="517" max="517" width="10" style="1" customWidth="1"/>
    <col min="518" max="518" width="10.75" style="1" customWidth="1"/>
    <col min="519" max="519" width="10.625" style="1" customWidth="1"/>
    <col min="520" max="520" width="9.75" style="1" customWidth="1"/>
    <col min="521" max="766" width="9" style="1"/>
    <col min="767" max="767" width="4" style="1" customWidth="1"/>
    <col min="768" max="768" width="10.125" style="1" customWidth="1"/>
    <col min="769" max="769" width="4.875" style="1" customWidth="1"/>
    <col min="770" max="770" width="9.5" style="1" customWidth="1"/>
    <col min="771" max="771" width="8.375" style="1" customWidth="1"/>
    <col min="772" max="772" width="9.5" style="1" customWidth="1"/>
    <col min="773" max="773" width="10" style="1" customWidth="1"/>
    <col min="774" max="774" width="10.75" style="1" customWidth="1"/>
    <col min="775" max="775" width="10.625" style="1" customWidth="1"/>
    <col min="776" max="776" width="9.75" style="1" customWidth="1"/>
    <col min="777" max="1022" width="9" style="1"/>
    <col min="1023" max="1023" width="4" style="1" customWidth="1"/>
    <col min="1024" max="1024" width="10.125" style="1" customWidth="1"/>
    <col min="1025" max="1025" width="4.875" style="1" customWidth="1"/>
    <col min="1026" max="1026" width="9.5" style="1" customWidth="1"/>
    <col min="1027" max="1027" width="8.375" style="1" customWidth="1"/>
    <col min="1028" max="1028" width="9.5" style="1" customWidth="1"/>
    <col min="1029" max="1029" width="10" style="1" customWidth="1"/>
    <col min="1030" max="1030" width="10.75" style="1" customWidth="1"/>
    <col min="1031" max="1031" width="10.625" style="1" customWidth="1"/>
    <col min="1032" max="1032" width="9.75" style="1" customWidth="1"/>
    <col min="1033" max="1278" width="9" style="1"/>
    <col min="1279" max="1279" width="4" style="1" customWidth="1"/>
    <col min="1280" max="1280" width="10.125" style="1" customWidth="1"/>
    <col min="1281" max="1281" width="4.875" style="1" customWidth="1"/>
    <col min="1282" max="1282" width="9.5" style="1" customWidth="1"/>
    <col min="1283" max="1283" width="8.375" style="1" customWidth="1"/>
    <col min="1284" max="1284" width="9.5" style="1" customWidth="1"/>
    <col min="1285" max="1285" width="10" style="1" customWidth="1"/>
    <col min="1286" max="1286" width="10.75" style="1" customWidth="1"/>
    <col min="1287" max="1287" width="10.625" style="1" customWidth="1"/>
    <col min="1288" max="1288" width="9.75" style="1" customWidth="1"/>
    <col min="1289" max="1534" width="9" style="1"/>
    <col min="1535" max="1535" width="4" style="1" customWidth="1"/>
    <col min="1536" max="1536" width="10.125" style="1" customWidth="1"/>
    <col min="1537" max="1537" width="4.875" style="1" customWidth="1"/>
    <col min="1538" max="1538" width="9.5" style="1" customWidth="1"/>
    <col min="1539" max="1539" width="8.375" style="1" customWidth="1"/>
    <col min="1540" max="1540" width="9.5" style="1" customWidth="1"/>
    <col min="1541" max="1541" width="10" style="1" customWidth="1"/>
    <col min="1542" max="1542" width="10.75" style="1" customWidth="1"/>
    <col min="1543" max="1543" width="10.625" style="1" customWidth="1"/>
    <col min="1544" max="1544" width="9.75" style="1" customWidth="1"/>
    <col min="1545" max="1790" width="9" style="1"/>
    <col min="1791" max="1791" width="4" style="1" customWidth="1"/>
    <col min="1792" max="1792" width="10.125" style="1" customWidth="1"/>
    <col min="1793" max="1793" width="4.875" style="1" customWidth="1"/>
    <col min="1794" max="1794" width="9.5" style="1" customWidth="1"/>
    <col min="1795" max="1795" width="8.375" style="1" customWidth="1"/>
    <col min="1796" max="1796" width="9.5" style="1" customWidth="1"/>
    <col min="1797" max="1797" width="10" style="1" customWidth="1"/>
    <col min="1798" max="1798" width="10.75" style="1" customWidth="1"/>
    <col min="1799" max="1799" width="10.625" style="1" customWidth="1"/>
    <col min="1800" max="1800" width="9.75" style="1" customWidth="1"/>
    <col min="1801" max="2046" width="9" style="1"/>
    <col min="2047" max="2047" width="4" style="1" customWidth="1"/>
    <col min="2048" max="2048" width="10.125" style="1" customWidth="1"/>
    <col min="2049" max="2049" width="4.875" style="1" customWidth="1"/>
    <col min="2050" max="2050" width="9.5" style="1" customWidth="1"/>
    <col min="2051" max="2051" width="8.375" style="1" customWidth="1"/>
    <col min="2052" max="2052" width="9.5" style="1" customWidth="1"/>
    <col min="2053" max="2053" width="10" style="1" customWidth="1"/>
    <col min="2054" max="2054" width="10.75" style="1" customWidth="1"/>
    <col min="2055" max="2055" width="10.625" style="1" customWidth="1"/>
    <col min="2056" max="2056" width="9.75" style="1" customWidth="1"/>
    <col min="2057" max="2302" width="9" style="1"/>
    <col min="2303" max="2303" width="4" style="1" customWidth="1"/>
    <col min="2304" max="2304" width="10.125" style="1" customWidth="1"/>
    <col min="2305" max="2305" width="4.875" style="1" customWidth="1"/>
    <col min="2306" max="2306" width="9.5" style="1" customWidth="1"/>
    <col min="2307" max="2307" width="8.375" style="1" customWidth="1"/>
    <col min="2308" max="2308" width="9.5" style="1" customWidth="1"/>
    <col min="2309" max="2309" width="10" style="1" customWidth="1"/>
    <col min="2310" max="2310" width="10.75" style="1" customWidth="1"/>
    <col min="2311" max="2311" width="10.625" style="1" customWidth="1"/>
    <col min="2312" max="2312" width="9.75" style="1" customWidth="1"/>
    <col min="2313" max="2558" width="9" style="1"/>
    <col min="2559" max="2559" width="4" style="1" customWidth="1"/>
    <col min="2560" max="2560" width="10.125" style="1" customWidth="1"/>
    <col min="2561" max="2561" width="4.875" style="1" customWidth="1"/>
    <col min="2562" max="2562" width="9.5" style="1" customWidth="1"/>
    <col min="2563" max="2563" width="8.375" style="1" customWidth="1"/>
    <col min="2564" max="2564" width="9.5" style="1" customWidth="1"/>
    <col min="2565" max="2565" width="10" style="1" customWidth="1"/>
    <col min="2566" max="2566" width="10.75" style="1" customWidth="1"/>
    <col min="2567" max="2567" width="10.625" style="1" customWidth="1"/>
    <col min="2568" max="2568" width="9.75" style="1" customWidth="1"/>
    <col min="2569" max="2814" width="9" style="1"/>
    <col min="2815" max="2815" width="4" style="1" customWidth="1"/>
    <col min="2816" max="2816" width="10.125" style="1" customWidth="1"/>
    <col min="2817" max="2817" width="4.875" style="1" customWidth="1"/>
    <col min="2818" max="2818" width="9.5" style="1" customWidth="1"/>
    <col min="2819" max="2819" width="8.375" style="1" customWidth="1"/>
    <col min="2820" max="2820" width="9.5" style="1" customWidth="1"/>
    <col min="2821" max="2821" width="10" style="1" customWidth="1"/>
    <col min="2822" max="2822" width="10.75" style="1" customWidth="1"/>
    <col min="2823" max="2823" width="10.625" style="1" customWidth="1"/>
    <col min="2824" max="2824" width="9.75" style="1" customWidth="1"/>
    <col min="2825" max="3070" width="9" style="1"/>
    <col min="3071" max="3071" width="4" style="1" customWidth="1"/>
    <col min="3072" max="3072" width="10.125" style="1" customWidth="1"/>
    <col min="3073" max="3073" width="4.875" style="1" customWidth="1"/>
    <col min="3074" max="3074" width="9.5" style="1" customWidth="1"/>
    <col min="3075" max="3075" width="8.375" style="1" customWidth="1"/>
    <col min="3076" max="3076" width="9.5" style="1" customWidth="1"/>
    <col min="3077" max="3077" width="10" style="1" customWidth="1"/>
    <col min="3078" max="3078" width="10.75" style="1" customWidth="1"/>
    <col min="3079" max="3079" width="10.625" style="1" customWidth="1"/>
    <col min="3080" max="3080" width="9.75" style="1" customWidth="1"/>
    <col min="3081" max="3326" width="9" style="1"/>
    <col min="3327" max="3327" width="4" style="1" customWidth="1"/>
    <col min="3328" max="3328" width="10.125" style="1" customWidth="1"/>
    <col min="3329" max="3329" width="4.875" style="1" customWidth="1"/>
    <col min="3330" max="3330" width="9.5" style="1" customWidth="1"/>
    <col min="3331" max="3331" width="8.375" style="1" customWidth="1"/>
    <col min="3332" max="3332" width="9.5" style="1" customWidth="1"/>
    <col min="3333" max="3333" width="10" style="1" customWidth="1"/>
    <col min="3334" max="3334" width="10.75" style="1" customWidth="1"/>
    <col min="3335" max="3335" width="10.625" style="1" customWidth="1"/>
    <col min="3336" max="3336" width="9.75" style="1" customWidth="1"/>
    <col min="3337" max="3582" width="9" style="1"/>
    <col min="3583" max="3583" width="4" style="1" customWidth="1"/>
    <col min="3584" max="3584" width="10.125" style="1" customWidth="1"/>
    <col min="3585" max="3585" width="4.875" style="1" customWidth="1"/>
    <col min="3586" max="3586" width="9.5" style="1" customWidth="1"/>
    <col min="3587" max="3587" width="8.375" style="1" customWidth="1"/>
    <col min="3588" max="3588" width="9.5" style="1" customWidth="1"/>
    <col min="3589" max="3589" width="10" style="1" customWidth="1"/>
    <col min="3590" max="3590" width="10.75" style="1" customWidth="1"/>
    <col min="3591" max="3591" width="10.625" style="1" customWidth="1"/>
    <col min="3592" max="3592" width="9.75" style="1" customWidth="1"/>
    <col min="3593" max="3838" width="9" style="1"/>
    <col min="3839" max="3839" width="4" style="1" customWidth="1"/>
    <col min="3840" max="3840" width="10.125" style="1" customWidth="1"/>
    <col min="3841" max="3841" width="4.875" style="1" customWidth="1"/>
    <col min="3842" max="3842" width="9.5" style="1" customWidth="1"/>
    <col min="3843" max="3843" width="8.375" style="1" customWidth="1"/>
    <col min="3844" max="3844" width="9.5" style="1" customWidth="1"/>
    <col min="3845" max="3845" width="10" style="1" customWidth="1"/>
    <col min="3846" max="3846" width="10.75" style="1" customWidth="1"/>
    <col min="3847" max="3847" width="10.625" style="1" customWidth="1"/>
    <col min="3848" max="3848" width="9.75" style="1" customWidth="1"/>
    <col min="3849" max="4094" width="9" style="1"/>
    <col min="4095" max="4095" width="4" style="1" customWidth="1"/>
    <col min="4096" max="4096" width="10.125" style="1" customWidth="1"/>
    <col min="4097" max="4097" width="4.875" style="1" customWidth="1"/>
    <col min="4098" max="4098" width="9.5" style="1" customWidth="1"/>
    <col min="4099" max="4099" width="8.375" style="1" customWidth="1"/>
    <col min="4100" max="4100" width="9.5" style="1" customWidth="1"/>
    <col min="4101" max="4101" width="10" style="1" customWidth="1"/>
    <col min="4102" max="4102" width="10.75" style="1" customWidth="1"/>
    <col min="4103" max="4103" width="10.625" style="1" customWidth="1"/>
    <col min="4104" max="4104" width="9.75" style="1" customWidth="1"/>
    <col min="4105" max="4350" width="9" style="1"/>
    <col min="4351" max="4351" width="4" style="1" customWidth="1"/>
    <col min="4352" max="4352" width="10.125" style="1" customWidth="1"/>
    <col min="4353" max="4353" width="4.875" style="1" customWidth="1"/>
    <col min="4354" max="4354" width="9.5" style="1" customWidth="1"/>
    <col min="4355" max="4355" width="8.375" style="1" customWidth="1"/>
    <col min="4356" max="4356" width="9.5" style="1" customWidth="1"/>
    <col min="4357" max="4357" width="10" style="1" customWidth="1"/>
    <col min="4358" max="4358" width="10.75" style="1" customWidth="1"/>
    <col min="4359" max="4359" width="10.625" style="1" customWidth="1"/>
    <col min="4360" max="4360" width="9.75" style="1" customWidth="1"/>
    <col min="4361" max="4606" width="9" style="1"/>
    <col min="4607" max="4607" width="4" style="1" customWidth="1"/>
    <col min="4608" max="4608" width="10.125" style="1" customWidth="1"/>
    <col min="4609" max="4609" width="4.875" style="1" customWidth="1"/>
    <col min="4610" max="4610" width="9.5" style="1" customWidth="1"/>
    <col min="4611" max="4611" width="8.375" style="1" customWidth="1"/>
    <col min="4612" max="4612" width="9.5" style="1" customWidth="1"/>
    <col min="4613" max="4613" width="10" style="1" customWidth="1"/>
    <col min="4614" max="4614" width="10.75" style="1" customWidth="1"/>
    <col min="4615" max="4615" width="10.625" style="1" customWidth="1"/>
    <col min="4616" max="4616" width="9.75" style="1" customWidth="1"/>
    <col min="4617" max="4862" width="9" style="1"/>
    <col min="4863" max="4863" width="4" style="1" customWidth="1"/>
    <col min="4864" max="4864" width="10.125" style="1" customWidth="1"/>
    <col min="4865" max="4865" width="4.875" style="1" customWidth="1"/>
    <col min="4866" max="4866" width="9.5" style="1" customWidth="1"/>
    <col min="4867" max="4867" width="8.375" style="1" customWidth="1"/>
    <col min="4868" max="4868" width="9.5" style="1" customWidth="1"/>
    <col min="4869" max="4869" width="10" style="1" customWidth="1"/>
    <col min="4870" max="4870" width="10.75" style="1" customWidth="1"/>
    <col min="4871" max="4871" width="10.625" style="1" customWidth="1"/>
    <col min="4872" max="4872" width="9.75" style="1" customWidth="1"/>
    <col min="4873" max="5118" width="9" style="1"/>
    <col min="5119" max="5119" width="4" style="1" customWidth="1"/>
    <col min="5120" max="5120" width="10.125" style="1" customWidth="1"/>
    <col min="5121" max="5121" width="4.875" style="1" customWidth="1"/>
    <col min="5122" max="5122" width="9.5" style="1" customWidth="1"/>
    <col min="5123" max="5123" width="8.375" style="1" customWidth="1"/>
    <col min="5124" max="5124" width="9.5" style="1" customWidth="1"/>
    <col min="5125" max="5125" width="10" style="1" customWidth="1"/>
    <col min="5126" max="5126" width="10.75" style="1" customWidth="1"/>
    <col min="5127" max="5127" width="10.625" style="1" customWidth="1"/>
    <col min="5128" max="5128" width="9.75" style="1" customWidth="1"/>
    <col min="5129" max="5374" width="9" style="1"/>
    <col min="5375" max="5375" width="4" style="1" customWidth="1"/>
    <col min="5376" max="5376" width="10.125" style="1" customWidth="1"/>
    <col min="5377" max="5377" width="4.875" style="1" customWidth="1"/>
    <col min="5378" max="5378" width="9.5" style="1" customWidth="1"/>
    <col min="5379" max="5379" width="8.375" style="1" customWidth="1"/>
    <col min="5380" max="5380" width="9.5" style="1" customWidth="1"/>
    <col min="5381" max="5381" width="10" style="1" customWidth="1"/>
    <col min="5382" max="5382" width="10.75" style="1" customWidth="1"/>
    <col min="5383" max="5383" width="10.625" style="1" customWidth="1"/>
    <col min="5384" max="5384" width="9.75" style="1" customWidth="1"/>
    <col min="5385" max="5630" width="9" style="1"/>
    <col min="5631" max="5631" width="4" style="1" customWidth="1"/>
    <col min="5632" max="5632" width="10.125" style="1" customWidth="1"/>
    <col min="5633" max="5633" width="4.875" style="1" customWidth="1"/>
    <col min="5634" max="5634" width="9.5" style="1" customWidth="1"/>
    <col min="5635" max="5635" width="8.375" style="1" customWidth="1"/>
    <col min="5636" max="5636" width="9.5" style="1" customWidth="1"/>
    <col min="5637" max="5637" width="10" style="1" customWidth="1"/>
    <col min="5638" max="5638" width="10.75" style="1" customWidth="1"/>
    <col min="5639" max="5639" width="10.625" style="1" customWidth="1"/>
    <col min="5640" max="5640" width="9.75" style="1" customWidth="1"/>
    <col min="5641" max="5886" width="9" style="1"/>
    <col min="5887" max="5887" width="4" style="1" customWidth="1"/>
    <col min="5888" max="5888" width="10.125" style="1" customWidth="1"/>
    <col min="5889" max="5889" width="4.875" style="1" customWidth="1"/>
    <col min="5890" max="5890" width="9.5" style="1" customWidth="1"/>
    <col min="5891" max="5891" width="8.375" style="1" customWidth="1"/>
    <col min="5892" max="5892" width="9.5" style="1" customWidth="1"/>
    <col min="5893" max="5893" width="10" style="1" customWidth="1"/>
    <col min="5894" max="5894" width="10.75" style="1" customWidth="1"/>
    <col min="5895" max="5895" width="10.625" style="1" customWidth="1"/>
    <col min="5896" max="5896" width="9.75" style="1" customWidth="1"/>
    <col min="5897" max="6142" width="9" style="1"/>
    <col min="6143" max="6143" width="4" style="1" customWidth="1"/>
    <col min="6144" max="6144" width="10.125" style="1" customWidth="1"/>
    <col min="6145" max="6145" width="4.875" style="1" customWidth="1"/>
    <col min="6146" max="6146" width="9.5" style="1" customWidth="1"/>
    <col min="6147" max="6147" width="8.375" style="1" customWidth="1"/>
    <col min="6148" max="6148" width="9.5" style="1" customWidth="1"/>
    <col min="6149" max="6149" width="10" style="1" customWidth="1"/>
    <col min="6150" max="6150" width="10.75" style="1" customWidth="1"/>
    <col min="6151" max="6151" width="10.625" style="1" customWidth="1"/>
    <col min="6152" max="6152" width="9.75" style="1" customWidth="1"/>
    <col min="6153" max="6398" width="9" style="1"/>
    <col min="6399" max="6399" width="4" style="1" customWidth="1"/>
    <col min="6400" max="6400" width="10.125" style="1" customWidth="1"/>
    <col min="6401" max="6401" width="4.875" style="1" customWidth="1"/>
    <col min="6402" max="6402" width="9.5" style="1" customWidth="1"/>
    <col min="6403" max="6403" width="8.375" style="1" customWidth="1"/>
    <col min="6404" max="6404" width="9.5" style="1" customWidth="1"/>
    <col min="6405" max="6405" width="10" style="1" customWidth="1"/>
    <col min="6406" max="6406" width="10.75" style="1" customWidth="1"/>
    <col min="6407" max="6407" width="10.625" style="1" customWidth="1"/>
    <col min="6408" max="6408" width="9.75" style="1" customWidth="1"/>
    <col min="6409" max="6654" width="9" style="1"/>
    <col min="6655" max="6655" width="4" style="1" customWidth="1"/>
    <col min="6656" max="6656" width="10.125" style="1" customWidth="1"/>
    <col min="6657" max="6657" width="4.875" style="1" customWidth="1"/>
    <col min="6658" max="6658" width="9.5" style="1" customWidth="1"/>
    <col min="6659" max="6659" width="8.375" style="1" customWidth="1"/>
    <col min="6660" max="6660" width="9.5" style="1" customWidth="1"/>
    <col min="6661" max="6661" width="10" style="1" customWidth="1"/>
    <col min="6662" max="6662" width="10.75" style="1" customWidth="1"/>
    <col min="6663" max="6663" width="10.625" style="1" customWidth="1"/>
    <col min="6664" max="6664" width="9.75" style="1" customWidth="1"/>
    <col min="6665" max="6910" width="9" style="1"/>
    <col min="6911" max="6911" width="4" style="1" customWidth="1"/>
    <col min="6912" max="6912" width="10.125" style="1" customWidth="1"/>
    <col min="6913" max="6913" width="4.875" style="1" customWidth="1"/>
    <col min="6914" max="6914" width="9.5" style="1" customWidth="1"/>
    <col min="6915" max="6915" width="8.375" style="1" customWidth="1"/>
    <col min="6916" max="6916" width="9.5" style="1" customWidth="1"/>
    <col min="6917" max="6917" width="10" style="1" customWidth="1"/>
    <col min="6918" max="6918" width="10.75" style="1" customWidth="1"/>
    <col min="6919" max="6919" width="10.625" style="1" customWidth="1"/>
    <col min="6920" max="6920" width="9.75" style="1" customWidth="1"/>
    <col min="6921" max="7166" width="9" style="1"/>
    <col min="7167" max="7167" width="4" style="1" customWidth="1"/>
    <col min="7168" max="7168" width="10.125" style="1" customWidth="1"/>
    <col min="7169" max="7169" width="4.875" style="1" customWidth="1"/>
    <col min="7170" max="7170" width="9.5" style="1" customWidth="1"/>
    <col min="7171" max="7171" width="8.375" style="1" customWidth="1"/>
    <col min="7172" max="7172" width="9.5" style="1" customWidth="1"/>
    <col min="7173" max="7173" width="10" style="1" customWidth="1"/>
    <col min="7174" max="7174" width="10.75" style="1" customWidth="1"/>
    <col min="7175" max="7175" width="10.625" style="1" customWidth="1"/>
    <col min="7176" max="7176" width="9.75" style="1" customWidth="1"/>
    <col min="7177" max="7422" width="9" style="1"/>
    <col min="7423" max="7423" width="4" style="1" customWidth="1"/>
    <col min="7424" max="7424" width="10.125" style="1" customWidth="1"/>
    <col min="7425" max="7425" width="4.875" style="1" customWidth="1"/>
    <col min="7426" max="7426" width="9.5" style="1" customWidth="1"/>
    <col min="7427" max="7427" width="8.375" style="1" customWidth="1"/>
    <col min="7428" max="7428" width="9.5" style="1" customWidth="1"/>
    <col min="7429" max="7429" width="10" style="1" customWidth="1"/>
    <col min="7430" max="7430" width="10.75" style="1" customWidth="1"/>
    <col min="7431" max="7431" width="10.625" style="1" customWidth="1"/>
    <col min="7432" max="7432" width="9.75" style="1" customWidth="1"/>
    <col min="7433" max="7678" width="9" style="1"/>
    <col min="7679" max="7679" width="4" style="1" customWidth="1"/>
    <col min="7680" max="7680" width="10.125" style="1" customWidth="1"/>
    <col min="7681" max="7681" width="4.875" style="1" customWidth="1"/>
    <col min="7682" max="7682" width="9.5" style="1" customWidth="1"/>
    <col min="7683" max="7683" width="8.375" style="1" customWidth="1"/>
    <col min="7684" max="7684" width="9.5" style="1" customWidth="1"/>
    <col min="7685" max="7685" width="10" style="1" customWidth="1"/>
    <col min="7686" max="7686" width="10.75" style="1" customWidth="1"/>
    <col min="7687" max="7687" width="10.625" style="1" customWidth="1"/>
    <col min="7688" max="7688" width="9.75" style="1" customWidth="1"/>
    <col min="7689" max="7934" width="9" style="1"/>
    <col min="7935" max="7935" width="4" style="1" customWidth="1"/>
    <col min="7936" max="7936" width="10.125" style="1" customWidth="1"/>
    <col min="7937" max="7937" width="4.875" style="1" customWidth="1"/>
    <col min="7938" max="7938" width="9.5" style="1" customWidth="1"/>
    <col min="7939" max="7939" width="8.375" style="1" customWidth="1"/>
    <col min="7940" max="7940" width="9.5" style="1" customWidth="1"/>
    <col min="7941" max="7941" width="10" style="1" customWidth="1"/>
    <col min="7942" max="7942" width="10.75" style="1" customWidth="1"/>
    <col min="7943" max="7943" width="10.625" style="1" customWidth="1"/>
    <col min="7944" max="7944" width="9.75" style="1" customWidth="1"/>
    <col min="7945" max="8190" width="9" style="1"/>
    <col min="8191" max="8191" width="4" style="1" customWidth="1"/>
    <col min="8192" max="8192" width="10.125" style="1" customWidth="1"/>
    <col min="8193" max="8193" width="4.875" style="1" customWidth="1"/>
    <col min="8194" max="8194" width="9.5" style="1" customWidth="1"/>
    <col min="8195" max="8195" width="8.375" style="1" customWidth="1"/>
    <col min="8196" max="8196" width="9.5" style="1" customWidth="1"/>
    <col min="8197" max="8197" width="10" style="1" customWidth="1"/>
    <col min="8198" max="8198" width="10.75" style="1" customWidth="1"/>
    <col min="8199" max="8199" width="10.625" style="1" customWidth="1"/>
    <col min="8200" max="8200" width="9.75" style="1" customWidth="1"/>
    <col min="8201" max="8446" width="9" style="1"/>
    <col min="8447" max="8447" width="4" style="1" customWidth="1"/>
    <col min="8448" max="8448" width="10.125" style="1" customWidth="1"/>
    <col min="8449" max="8449" width="4.875" style="1" customWidth="1"/>
    <col min="8450" max="8450" width="9.5" style="1" customWidth="1"/>
    <col min="8451" max="8451" width="8.375" style="1" customWidth="1"/>
    <col min="8452" max="8452" width="9.5" style="1" customWidth="1"/>
    <col min="8453" max="8453" width="10" style="1" customWidth="1"/>
    <col min="8454" max="8454" width="10.75" style="1" customWidth="1"/>
    <col min="8455" max="8455" width="10.625" style="1" customWidth="1"/>
    <col min="8456" max="8456" width="9.75" style="1" customWidth="1"/>
    <col min="8457" max="8702" width="9" style="1"/>
    <col min="8703" max="8703" width="4" style="1" customWidth="1"/>
    <col min="8704" max="8704" width="10.125" style="1" customWidth="1"/>
    <col min="8705" max="8705" width="4.875" style="1" customWidth="1"/>
    <col min="8706" max="8706" width="9.5" style="1" customWidth="1"/>
    <col min="8707" max="8707" width="8.375" style="1" customWidth="1"/>
    <col min="8708" max="8708" width="9.5" style="1" customWidth="1"/>
    <col min="8709" max="8709" width="10" style="1" customWidth="1"/>
    <col min="8710" max="8710" width="10.75" style="1" customWidth="1"/>
    <col min="8711" max="8711" width="10.625" style="1" customWidth="1"/>
    <col min="8712" max="8712" width="9.75" style="1" customWidth="1"/>
    <col min="8713" max="8958" width="9" style="1"/>
    <col min="8959" max="8959" width="4" style="1" customWidth="1"/>
    <col min="8960" max="8960" width="10.125" style="1" customWidth="1"/>
    <col min="8961" max="8961" width="4.875" style="1" customWidth="1"/>
    <col min="8962" max="8962" width="9.5" style="1" customWidth="1"/>
    <col min="8963" max="8963" width="8.375" style="1" customWidth="1"/>
    <col min="8964" max="8964" width="9.5" style="1" customWidth="1"/>
    <col min="8965" max="8965" width="10" style="1" customWidth="1"/>
    <col min="8966" max="8966" width="10.75" style="1" customWidth="1"/>
    <col min="8967" max="8967" width="10.625" style="1" customWidth="1"/>
    <col min="8968" max="8968" width="9.75" style="1" customWidth="1"/>
    <col min="8969" max="9214" width="9" style="1"/>
    <col min="9215" max="9215" width="4" style="1" customWidth="1"/>
    <col min="9216" max="9216" width="10.125" style="1" customWidth="1"/>
    <col min="9217" max="9217" width="4.875" style="1" customWidth="1"/>
    <col min="9218" max="9218" width="9.5" style="1" customWidth="1"/>
    <col min="9219" max="9219" width="8.375" style="1" customWidth="1"/>
    <col min="9220" max="9220" width="9.5" style="1" customWidth="1"/>
    <col min="9221" max="9221" width="10" style="1" customWidth="1"/>
    <col min="9222" max="9222" width="10.75" style="1" customWidth="1"/>
    <col min="9223" max="9223" width="10.625" style="1" customWidth="1"/>
    <col min="9224" max="9224" width="9.75" style="1" customWidth="1"/>
    <col min="9225" max="9470" width="9" style="1"/>
    <col min="9471" max="9471" width="4" style="1" customWidth="1"/>
    <col min="9472" max="9472" width="10.125" style="1" customWidth="1"/>
    <col min="9473" max="9473" width="4.875" style="1" customWidth="1"/>
    <col min="9474" max="9474" width="9.5" style="1" customWidth="1"/>
    <col min="9475" max="9475" width="8.375" style="1" customWidth="1"/>
    <col min="9476" max="9476" width="9.5" style="1" customWidth="1"/>
    <col min="9477" max="9477" width="10" style="1" customWidth="1"/>
    <col min="9478" max="9478" width="10.75" style="1" customWidth="1"/>
    <col min="9479" max="9479" width="10.625" style="1" customWidth="1"/>
    <col min="9480" max="9480" width="9.75" style="1" customWidth="1"/>
    <col min="9481" max="9726" width="9" style="1"/>
    <col min="9727" max="9727" width="4" style="1" customWidth="1"/>
    <col min="9728" max="9728" width="10.125" style="1" customWidth="1"/>
    <col min="9729" max="9729" width="4.875" style="1" customWidth="1"/>
    <col min="9730" max="9730" width="9.5" style="1" customWidth="1"/>
    <col min="9731" max="9731" width="8.375" style="1" customWidth="1"/>
    <col min="9732" max="9732" width="9.5" style="1" customWidth="1"/>
    <col min="9733" max="9733" width="10" style="1" customWidth="1"/>
    <col min="9734" max="9734" width="10.75" style="1" customWidth="1"/>
    <col min="9735" max="9735" width="10.625" style="1" customWidth="1"/>
    <col min="9736" max="9736" width="9.75" style="1" customWidth="1"/>
    <col min="9737" max="9982" width="9" style="1"/>
    <col min="9983" max="9983" width="4" style="1" customWidth="1"/>
    <col min="9984" max="9984" width="10.125" style="1" customWidth="1"/>
    <col min="9985" max="9985" width="4.875" style="1" customWidth="1"/>
    <col min="9986" max="9986" width="9.5" style="1" customWidth="1"/>
    <col min="9987" max="9987" width="8.375" style="1" customWidth="1"/>
    <col min="9988" max="9988" width="9.5" style="1" customWidth="1"/>
    <col min="9989" max="9989" width="10" style="1" customWidth="1"/>
    <col min="9990" max="9990" width="10.75" style="1" customWidth="1"/>
    <col min="9991" max="9991" width="10.625" style="1" customWidth="1"/>
    <col min="9992" max="9992" width="9.75" style="1" customWidth="1"/>
    <col min="9993" max="10238" width="9" style="1"/>
    <col min="10239" max="10239" width="4" style="1" customWidth="1"/>
    <col min="10240" max="10240" width="10.125" style="1" customWidth="1"/>
    <col min="10241" max="10241" width="4.875" style="1" customWidth="1"/>
    <col min="10242" max="10242" width="9.5" style="1" customWidth="1"/>
    <col min="10243" max="10243" width="8.375" style="1" customWidth="1"/>
    <col min="10244" max="10244" width="9.5" style="1" customWidth="1"/>
    <col min="10245" max="10245" width="10" style="1" customWidth="1"/>
    <col min="10246" max="10246" width="10.75" style="1" customWidth="1"/>
    <col min="10247" max="10247" width="10.625" style="1" customWidth="1"/>
    <col min="10248" max="10248" width="9.75" style="1" customWidth="1"/>
    <col min="10249" max="10494" width="9" style="1"/>
    <col min="10495" max="10495" width="4" style="1" customWidth="1"/>
    <col min="10496" max="10496" width="10.125" style="1" customWidth="1"/>
    <col min="10497" max="10497" width="4.875" style="1" customWidth="1"/>
    <col min="10498" max="10498" width="9.5" style="1" customWidth="1"/>
    <col min="10499" max="10499" width="8.375" style="1" customWidth="1"/>
    <col min="10500" max="10500" width="9.5" style="1" customWidth="1"/>
    <col min="10501" max="10501" width="10" style="1" customWidth="1"/>
    <col min="10502" max="10502" width="10.75" style="1" customWidth="1"/>
    <col min="10503" max="10503" width="10.625" style="1" customWidth="1"/>
    <col min="10504" max="10504" width="9.75" style="1" customWidth="1"/>
    <col min="10505" max="10750" width="9" style="1"/>
    <col min="10751" max="10751" width="4" style="1" customWidth="1"/>
    <col min="10752" max="10752" width="10.125" style="1" customWidth="1"/>
    <col min="10753" max="10753" width="4.875" style="1" customWidth="1"/>
    <col min="10754" max="10754" width="9.5" style="1" customWidth="1"/>
    <col min="10755" max="10755" width="8.375" style="1" customWidth="1"/>
    <col min="10756" max="10756" width="9.5" style="1" customWidth="1"/>
    <col min="10757" max="10757" width="10" style="1" customWidth="1"/>
    <col min="10758" max="10758" width="10.75" style="1" customWidth="1"/>
    <col min="10759" max="10759" width="10.625" style="1" customWidth="1"/>
    <col min="10760" max="10760" width="9.75" style="1" customWidth="1"/>
    <col min="10761" max="11006" width="9" style="1"/>
    <col min="11007" max="11007" width="4" style="1" customWidth="1"/>
    <col min="11008" max="11008" width="10.125" style="1" customWidth="1"/>
    <col min="11009" max="11009" width="4.875" style="1" customWidth="1"/>
    <col min="11010" max="11010" width="9.5" style="1" customWidth="1"/>
    <col min="11011" max="11011" width="8.375" style="1" customWidth="1"/>
    <col min="11012" max="11012" width="9.5" style="1" customWidth="1"/>
    <col min="11013" max="11013" width="10" style="1" customWidth="1"/>
    <col min="11014" max="11014" width="10.75" style="1" customWidth="1"/>
    <col min="11015" max="11015" width="10.625" style="1" customWidth="1"/>
    <col min="11016" max="11016" width="9.75" style="1" customWidth="1"/>
    <col min="11017" max="11262" width="9" style="1"/>
    <col min="11263" max="11263" width="4" style="1" customWidth="1"/>
    <col min="11264" max="11264" width="10.125" style="1" customWidth="1"/>
    <col min="11265" max="11265" width="4.875" style="1" customWidth="1"/>
    <col min="11266" max="11266" width="9.5" style="1" customWidth="1"/>
    <col min="11267" max="11267" width="8.375" style="1" customWidth="1"/>
    <col min="11268" max="11268" width="9.5" style="1" customWidth="1"/>
    <col min="11269" max="11269" width="10" style="1" customWidth="1"/>
    <col min="11270" max="11270" width="10.75" style="1" customWidth="1"/>
    <col min="11271" max="11271" width="10.625" style="1" customWidth="1"/>
    <col min="11272" max="11272" width="9.75" style="1" customWidth="1"/>
    <col min="11273" max="11518" width="9" style="1"/>
    <col min="11519" max="11519" width="4" style="1" customWidth="1"/>
    <col min="11520" max="11520" width="10.125" style="1" customWidth="1"/>
    <col min="11521" max="11521" width="4.875" style="1" customWidth="1"/>
    <col min="11522" max="11522" width="9.5" style="1" customWidth="1"/>
    <col min="11523" max="11523" width="8.375" style="1" customWidth="1"/>
    <col min="11524" max="11524" width="9.5" style="1" customWidth="1"/>
    <col min="11525" max="11525" width="10" style="1" customWidth="1"/>
    <col min="11526" max="11526" width="10.75" style="1" customWidth="1"/>
    <col min="11527" max="11527" width="10.625" style="1" customWidth="1"/>
    <col min="11528" max="11528" width="9.75" style="1" customWidth="1"/>
    <col min="11529" max="11774" width="9" style="1"/>
    <col min="11775" max="11775" width="4" style="1" customWidth="1"/>
    <col min="11776" max="11776" width="10.125" style="1" customWidth="1"/>
    <col min="11777" max="11777" width="4.875" style="1" customWidth="1"/>
    <col min="11778" max="11778" width="9.5" style="1" customWidth="1"/>
    <col min="11779" max="11779" width="8.375" style="1" customWidth="1"/>
    <col min="11780" max="11780" width="9.5" style="1" customWidth="1"/>
    <col min="11781" max="11781" width="10" style="1" customWidth="1"/>
    <col min="11782" max="11782" width="10.75" style="1" customWidth="1"/>
    <col min="11783" max="11783" width="10.625" style="1" customWidth="1"/>
    <col min="11784" max="11784" width="9.75" style="1" customWidth="1"/>
    <col min="11785" max="12030" width="9" style="1"/>
    <col min="12031" max="12031" width="4" style="1" customWidth="1"/>
    <col min="12032" max="12032" width="10.125" style="1" customWidth="1"/>
    <col min="12033" max="12033" width="4.875" style="1" customWidth="1"/>
    <col min="12034" max="12034" width="9.5" style="1" customWidth="1"/>
    <col min="12035" max="12035" width="8.375" style="1" customWidth="1"/>
    <col min="12036" max="12036" width="9.5" style="1" customWidth="1"/>
    <col min="12037" max="12037" width="10" style="1" customWidth="1"/>
    <col min="12038" max="12038" width="10.75" style="1" customWidth="1"/>
    <col min="12039" max="12039" width="10.625" style="1" customWidth="1"/>
    <col min="12040" max="12040" width="9.75" style="1" customWidth="1"/>
    <col min="12041" max="12286" width="9" style="1"/>
    <col min="12287" max="12287" width="4" style="1" customWidth="1"/>
    <col min="12288" max="12288" width="10.125" style="1" customWidth="1"/>
    <col min="12289" max="12289" width="4.875" style="1" customWidth="1"/>
    <col min="12290" max="12290" width="9.5" style="1" customWidth="1"/>
    <col min="12291" max="12291" width="8.375" style="1" customWidth="1"/>
    <col min="12292" max="12292" width="9.5" style="1" customWidth="1"/>
    <col min="12293" max="12293" width="10" style="1" customWidth="1"/>
    <col min="12294" max="12294" width="10.75" style="1" customWidth="1"/>
    <col min="12295" max="12295" width="10.625" style="1" customWidth="1"/>
    <col min="12296" max="12296" width="9.75" style="1" customWidth="1"/>
    <col min="12297" max="12542" width="9" style="1"/>
    <col min="12543" max="12543" width="4" style="1" customWidth="1"/>
    <col min="12544" max="12544" width="10.125" style="1" customWidth="1"/>
    <col min="12545" max="12545" width="4.875" style="1" customWidth="1"/>
    <col min="12546" max="12546" width="9.5" style="1" customWidth="1"/>
    <col min="12547" max="12547" width="8.375" style="1" customWidth="1"/>
    <col min="12548" max="12548" width="9.5" style="1" customWidth="1"/>
    <col min="12549" max="12549" width="10" style="1" customWidth="1"/>
    <col min="12550" max="12550" width="10.75" style="1" customWidth="1"/>
    <col min="12551" max="12551" width="10.625" style="1" customWidth="1"/>
    <col min="12552" max="12552" width="9.75" style="1" customWidth="1"/>
    <col min="12553" max="12798" width="9" style="1"/>
    <col min="12799" max="12799" width="4" style="1" customWidth="1"/>
    <col min="12800" max="12800" width="10.125" style="1" customWidth="1"/>
    <col min="12801" max="12801" width="4.875" style="1" customWidth="1"/>
    <col min="12802" max="12802" width="9.5" style="1" customWidth="1"/>
    <col min="12803" max="12803" width="8.375" style="1" customWidth="1"/>
    <col min="12804" max="12804" width="9.5" style="1" customWidth="1"/>
    <col min="12805" max="12805" width="10" style="1" customWidth="1"/>
    <col min="12806" max="12806" width="10.75" style="1" customWidth="1"/>
    <col min="12807" max="12807" width="10.625" style="1" customWidth="1"/>
    <col min="12808" max="12808" width="9.75" style="1" customWidth="1"/>
    <col min="12809" max="13054" width="9" style="1"/>
    <col min="13055" max="13055" width="4" style="1" customWidth="1"/>
    <col min="13056" max="13056" width="10.125" style="1" customWidth="1"/>
    <col min="13057" max="13057" width="4.875" style="1" customWidth="1"/>
    <col min="13058" max="13058" width="9.5" style="1" customWidth="1"/>
    <col min="13059" max="13059" width="8.375" style="1" customWidth="1"/>
    <col min="13060" max="13060" width="9.5" style="1" customWidth="1"/>
    <col min="13061" max="13061" width="10" style="1" customWidth="1"/>
    <col min="13062" max="13062" width="10.75" style="1" customWidth="1"/>
    <col min="13063" max="13063" width="10.625" style="1" customWidth="1"/>
    <col min="13064" max="13064" width="9.75" style="1" customWidth="1"/>
    <col min="13065" max="13310" width="9" style="1"/>
    <col min="13311" max="13311" width="4" style="1" customWidth="1"/>
    <col min="13312" max="13312" width="10.125" style="1" customWidth="1"/>
    <col min="13313" max="13313" width="4.875" style="1" customWidth="1"/>
    <col min="13314" max="13314" width="9.5" style="1" customWidth="1"/>
    <col min="13315" max="13315" width="8.375" style="1" customWidth="1"/>
    <col min="13316" max="13316" width="9.5" style="1" customWidth="1"/>
    <col min="13317" max="13317" width="10" style="1" customWidth="1"/>
    <col min="13318" max="13318" width="10.75" style="1" customWidth="1"/>
    <col min="13319" max="13319" width="10.625" style="1" customWidth="1"/>
    <col min="13320" max="13320" width="9.75" style="1" customWidth="1"/>
    <col min="13321" max="13566" width="9" style="1"/>
    <col min="13567" max="13567" width="4" style="1" customWidth="1"/>
    <col min="13568" max="13568" width="10.125" style="1" customWidth="1"/>
    <col min="13569" max="13569" width="4.875" style="1" customWidth="1"/>
    <col min="13570" max="13570" width="9.5" style="1" customWidth="1"/>
    <col min="13571" max="13571" width="8.375" style="1" customWidth="1"/>
    <col min="13572" max="13572" width="9.5" style="1" customWidth="1"/>
    <col min="13573" max="13573" width="10" style="1" customWidth="1"/>
    <col min="13574" max="13574" width="10.75" style="1" customWidth="1"/>
    <col min="13575" max="13575" width="10.625" style="1" customWidth="1"/>
    <col min="13576" max="13576" width="9.75" style="1" customWidth="1"/>
    <col min="13577" max="13822" width="9" style="1"/>
    <col min="13823" max="13823" width="4" style="1" customWidth="1"/>
    <col min="13824" max="13824" width="10.125" style="1" customWidth="1"/>
    <col min="13825" max="13825" width="4.875" style="1" customWidth="1"/>
    <col min="13826" max="13826" width="9.5" style="1" customWidth="1"/>
    <col min="13827" max="13827" width="8.375" style="1" customWidth="1"/>
    <col min="13828" max="13828" width="9.5" style="1" customWidth="1"/>
    <col min="13829" max="13829" width="10" style="1" customWidth="1"/>
    <col min="13830" max="13830" width="10.75" style="1" customWidth="1"/>
    <col min="13831" max="13831" width="10.625" style="1" customWidth="1"/>
    <col min="13832" max="13832" width="9.75" style="1" customWidth="1"/>
    <col min="13833" max="14078" width="9" style="1"/>
    <col min="14079" max="14079" width="4" style="1" customWidth="1"/>
    <col min="14080" max="14080" width="10.125" style="1" customWidth="1"/>
    <col min="14081" max="14081" width="4.875" style="1" customWidth="1"/>
    <col min="14082" max="14082" width="9.5" style="1" customWidth="1"/>
    <col min="14083" max="14083" width="8.375" style="1" customWidth="1"/>
    <col min="14084" max="14084" width="9.5" style="1" customWidth="1"/>
    <col min="14085" max="14085" width="10" style="1" customWidth="1"/>
    <col min="14086" max="14086" width="10.75" style="1" customWidth="1"/>
    <col min="14087" max="14087" width="10.625" style="1" customWidth="1"/>
    <col min="14088" max="14088" width="9.75" style="1" customWidth="1"/>
    <col min="14089" max="14334" width="9" style="1"/>
    <col min="14335" max="14335" width="4" style="1" customWidth="1"/>
    <col min="14336" max="14336" width="10.125" style="1" customWidth="1"/>
    <col min="14337" max="14337" width="4.875" style="1" customWidth="1"/>
    <col min="14338" max="14338" width="9.5" style="1" customWidth="1"/>
    <col min="14339" max="14339" width="8.375" style="1" customWidth="1"/>
    <col min="14340" max="14340" width="9.5" style="1" customWidth="1"/>
    <col min="14341" max="14341" width="10" style="1" customWidth="1"/>
    <col min="14342" max="14342" width="10.75" style="1" customWidth="1"/>
    <col min="14343" max="14343" width="10.625" style="1" customWidth="1"/>
    <col min="14344" max="14344" width="9.75" style="1" customWidth="1"/>
    <col min="14345" max="14590" width="9" style="1"/>
    <col min="14591" max="14591" width="4" style="1" customWidth="1"/>
    <col min="14592" max="14592" width="10.125" style="1" customWidth="1"/>
    <col min="14593" max="14593" width="4.875" style="1" customWidth="1"/>
    <col min="14594" max="14594" width="9.5" style="1" customWidth="1"/>
    <col min="14595" max="14595" width="8.375" style="1" customWidth="1"/>
    <col min="14596" max="14596" width="9.5" style="1" customWidth="1"/>
    <col min="14597" max="14597" width="10" style="1" customWidth="1"/>
    <col min="14598" max="14598" width="10.75" style="1" customWidth="1"/>
    <col min="14599" max="14599" width="10.625" style="1" customWidth="1"/>
    <col min="14600" max="14600" width="9.75" style="1" customWidth="1"/>
    <col min="14601" max="14846" width="9" style="1"/>
    <col min="14847" max="14847" width="4" style="1" customWidth="1"/>
    <col min="14848" max="14848" width="10.125" style="1" customWidth="1"/>
    <col min="14849" max="14849" width="4.875" style="1" customWidth="1"/>
    <col min="14850" max="14850" width="9.5" style="1" customWidth="1"/>
    <col min="14851" max="14851" width="8.375" style="1" customWidth="1"/>
    <col min="14852" max="14852" width="9.5" style="1" customWidth="1"/>
    <col min="14853" max="14853" width="10" style="1" customWidth="1"/>
    <col min="14854" max="14854" width="10.75" style="1" customWidth="1"/>
    <col min="14855" max="14855" width="10.625" style="1" customWidth="1"/>
    <col min="14856" max="14856" width="9.75" style="1" customWidth="1"/>
    <col min="14857" max="15102" width="9" style="1"/>
    <col min="15103" max="15103" width="4" style="1" customWidth="1"/>
    <col min="15104" max="15104" width="10.125" style="1" customWidth="1"/>
    <col min="15105" max="15105" width="4.875" style="1" customWidth="1"/>
    <col min="15106" max="15106" width="9.5" style="1" customWidth="1"/>
    <col min="15107" max="15107" width="8.375" style="1" customWidth="1"/>
    <col min="15108" max="15108" width="9.5" style="1" customWidth="1"/>
    <col min="15109" max="15109" width="10" style="1" customWidth="1"/>
    <col min="15110" max="15110" width="10.75" style="1" customWidth="1"/>
    <col min="15111" max="15111" width="10.625" style="1" customWidth="1"/>
    <col min="15112" max="15112" width="9.75" style="1" customWidth="1"/>
    <col min="15113" max="15358" width="9" style="1"/>
    <col min="15359" max="15359" width="4" style="1" customWidth="1"/>
    <col min="15360" max="15360" width="10.125" style="1" customWidth="1"/>
    <col min="15361" max="15361" width="4.875" style="1" customWidth="1"/>
    <col min="15362" max="15362" width="9.5" style="1" customWidth="1"/>
    <col min="15363" max="15363" width="8.375" style="1" customWidth="1"/>
    <col min="15364" max="15364" width="9.5" style="1" customWidth="1"/>
    <col min="15365" max="15365" width="10" style="1" customWidth="1"/>
    <col min="15366" max="15366" width="10.75" style="1" customWidth="1"/>
    <col min="15367" max="15367" width="10.625" style="1" customWidth="1"/>
    <col min="15368" max="15368" width="9.75" style="1" customWidth="1"/>
    <col min="15369" max="15614" width="9" style="1"/>
    <col min="15615" max="15615" width="4" style="1" customWidth="1"/>
    <col min="15616" max="15616" width="10.125" style="1" customWidth="1"/>
    <col min="15617" max="15617" width="4.875" style="1" customWidth="1"/>
    <col min="15618" max="15618" width="9.5" style="1" customWidth="1"/>
    <col min="15619" max="15619" width="8.375" style="1" customWidth="1"/>
    <col min="15620" max="15620" width="9.5" style="1" customWidth="1"/>
    <col min="15621" max="15621" width="10" style="1" customWidth="1"/>
    <col min="15622" max="15622" width="10.75" style="1" customWidth="1"/>
    <col min="15623" max="15623" width="10.625" style="1" customWidth="1"/>
    <col min="15624" max="15624" width="9.75" style="1" customWidth="1"/>
    <col min="15625" max="15870" width="9" style="1"/>
    <col min="15871" max="15871" width="4" style="1" customWidth="1"/>
    <col min="15872" max="15872" width="10.125" style="1" customWidth="1"/>
    <col min="15873" max="15873" width="4.875" style="1" customWidth="1"/>
    <col min="15874" max="15874" width="9.5" style="1" customWidth="1"/>
    <col min="15875" max="15875" width="8.375" style="1" customWidth="1"/>
    <col min="15876" max="15876" width="9.5" style="1" customWidth="1"/>
    <col min="15877" max="15877" width="10" style="1" customWidth="1"/>
    <col min="15878" max="15878" width="10.75" style="1" customWidth="1"/>
    <col min="15879" max="15879" width="10.625" style="1" customWidth="1"/>
    <col min="15880" max="15880" width="9.75" style="1" customWidth="1"/>
    <col min="15881" max="16126" width="9" style="1"/>
    <col min="16127" max="16127" width="4" style="1" customWidth="1"/>
    <col min="16128" max="16128" width="10.125" style="1" customWidth="1"/>
    <col min="16129" max="16129" width="4.875" style="1" customWidth="1"/>
    <col min="16130" max="16130" width="9.5" style="1" customWidth="1"/>
    <col min="16131" max="16131" width="8.375" style="1" customWidth="1"/>
    <col min="16132" max="16132" width="9.5" style="1" customWidth="1"/>
    <col min="16133" max="16133" width="10" style="1" customWidth="1"/>
    <col min="16134" max="16134" width="10.75" style="1" customWidth="1"/>
    <col min="16135" max="16135" width="10.625" style="1" customWidth="1"/>
    <col min="16136" max="16136" width="9.75" style="1" customWidth="1"/>
    <col min="16137" max="16384" width="9" style="1"/>
  </cols>
  <sheetData>
    <row r="1" spans="1:13" ht="27" customHeight="1">
      <c r="A1" s="33" t="s">
        <v>1</v>
      </c>
      <c r="B1" s="33"/>
      <c r="C1" s="33"/>
      <c r="D1" s="33"/>
      <c r="E1" s="33"/>
      <c r="F1" s="33"/>
      <c r="G1" s="33"/>
      <c r="H1" s="33"/>
      <c r="I1" s="33"/>
      <c r="J1" s="2"/>
      <c r="K1" s="3"/>
      <c r="L1" s="3"/>
      <c r="M1" s="3"/>
    </row>
    <row r="2" spans="1:13" ht="16.5">
      <c r="A2" s="46" t="s">
        <v>2</v>
      </c>
      <c r="B2" s="46"/>
      <c r="C2" s="46"/>
      <c r="D2" s="47" t="s">
        <v>187</v>
      </c>
      <c r="E2" s="47"/>
      <c r="F2" s="47"/>
      <c r="G2" s="48">
        <v>45962</v>
      </c>
      <c r="H2" s="49"/>
      <c r="I2" s="50"/>
      <c r="J2" s="4"/>
      <c r="K2" s="3"/>
      <c r="L2" s="3"/>
      <c r="M2" s="3"/>
    </row>
    <row r="3" spans="1:13" ht="19.5" customHeight="1">
      <c r="A3" s="51" t="s">
        <v>5</v>
      </c>
      <c r="B3" s="51"/>
      <c r="C3" s="5" t="s">
        <v>6</v>
      </c>
      <c r="D3" s="5" t="s">
        <v>7</v>
      </c>
      <c r="E3" s="5" t="s">
        <v>8</v>
      </c>
      <c r="F3" s="5" t="s">
        <v>10</v>
      </c>
      <c r="G3" s="5" t="s">
        <v>11</v>
      </c>
      <c r="H3" s="6" t="s">
        <v>12</v>
      </c>
      <c r="I3" s="5" t="s">
        <v>188</v>
      </c>
      <c r="K3" s="3"/>
      <c r="L3" s="3"/>
      <c r="M3" s="3"/>
    </row>
    <row r="4" spans="1:13" ht="19.5" customHeight="1">
      <c r="A4" s="53" t="s">
        <v>17</v>
      </c>
      <c r="B4" s="5" t="s">
        <v>18</v>
      </c>
      <c r="C4" s="5" t="s">
        <v>19</v>
      </c>
      <c r="D4" s="8">
        <v>72936</v>
      </c>
      <c r="E4" s="8">
        <v>70884</v>
      </c>
      <c r="F4" s="6">
        <f t="shared" ref="F4:F31" si="0">D4+E4</f>
        <v>143820</v>
      </c>
      <c r="G4" s="6" t="e">
        <f>F4+#REF!</f>
        <v>#REF!</v>
      </c>
      <c r="H4" s="6" t="e">
        <f>F4+#REF!</f>
        <v>#REF!</v>
      </c>
      <c r="I4" s="6" t="e">
        <f>F4+#REF!</f>
        <v>#REF!</v>
      </c>
      <c r="K4" s="3"/>
      <c r="L4" s="3"/>
      <c r="M4" s="3"/>
    </row>
    <row r="5" spans="1:13" ht="19.5" customHeight="1">
      <c r="A5" s="53"/>
      <c r="B5" s="5"/>
      <c r="C5" s="5" t="s">
        <v>19</v>
      </c>
      <c r="D5" s="6"/>
      <c r="E5" s="6"/>
      <c r="F5" s="6">
        <f t="shared" si="0"/>
        <v>0</v>
      </c>
      <c r="G5" s="6" t="e">
        <f>F5+#REF!</f>
        <v>#REF!</v>
      </c>
      <c r="H5" s="6" t="e">
        <f>F5+#REF!</f>
        <v>#REF!</v>
      </c>
      <c r="I5" s="6" t="e">
        <f>F5+#REF!</f>
        <v>#REF!</v>
      </c>
      <c r="K5" s="9"/>
      <c r="L5" s="3"/>
      <c r="M5" s="3"/>
    </row>
    <row r="6" spans="1:13" ht="19.5" customHeight="1">
      <c r="A6" s="53" t="s">
        <v>27</v>
      </c>
      <c r="B6" s="5" t="s">
        <v>28</v>
      </c>
      <c r="C6" s="5" t="s">
        <v>29</v>
      </c>
      <c r="D6" s="10">
        <v>200</v>
      </c>
      <c r="E6" s="10">
        <v>150</v>
      </c>
      <c r="F6" s="6">
        <f t="shared" si="0"/>
        <v>350</v>
      </c>
      <c r="G6" s="6" t="e">
        <f>F6+#REF!</f>
        <v>#REF!</v>
      </c>
      <c r="H6" s="6" t="e">
        <f>F6+#REF!</f>
        <v>#REF!</v>
      </c>
      <c r="I6" s="6" t="e">
        <f>F6+#REF!</f>
        <v>#REF!</v>
      </c>
      <c r="K6" s="9">
        <v>360.2</v>
      </c>
      <c r="L6" s="3"/>
      <c r="M6" s="3"/>
    </row>
    <row r="7" spans="1:13" ht="19.5" customHeight="1">
      <c r="A7" s="53"/>
      <c r="B7" s="5" t="s">
        <v>36</v>
      </c>
      <c r="C7" s="5" t="s">
        <v>29</v>
      </c>
      <c r="D7" s="11">
        <v>1104</v>
      </c>
      <c r="E7" s="11">
        <v>1070</v>
      </c>
      <c r="F7" s="6">
        <f t="shared" si="0"/>
        <v>2174</v>
      </c>
      <c r="G7" s="6" t="e">
        <f>F7+#REF!</f>
        <v>#REF!</v>
      </c>
      <c r="H7" s="6" t="e">
        <f>F7+#REF!</f>
        <v>#REF!</v>
      </c>
      <c r="I7" s="6" t="e">
        <f>F7+#REF!</f>
        <v>#REF!</v>
      </c>
      <c r="K7" s="3"/>
      <c r="L7" s="3"/>
      <c r="M7" s="3"/>
    </row>
    <row r="8" spans="1:13" ht="19.5" customHeight="1">
      <c r="A8" s="53"/>
      <c r="B8" s="5" t="s">
        <v>43</v>
      </c>
      <c r="C8" s="5" t="s">
        <v>44</v>
      </c>
      <c r="D8" s="12">
        <f>D6*0.68</f>
        <v>136</v>
      </c>
      <c r="E8" s="12">
        <f>E6*0.68</f>
        <v>102</v>
      </c>
      <c r="F8" s="6">
        <f t="shared" si="0"/>
        <v>238</v>
      </c>
      <c r="G8" s="6" t="e">
        <f>F8+#REF!</f>
        <v>#REF!</v>
      </c>
      <c r="H8" s="6" t="e">
        <f>F8+#REF!</f>
        <v>#REF!</v>
      </c>
      <c r="I8" s="6" t="e">
        <f>F8+#REF!</f>
        <v>#REF!</v>
      </c>
      <c r="K8" s="13"/>
      <c r="L8" s="3"/>
      <c r="M8" s="3"/>
    </row>
    <row r="9" spans="1:13" ht="19.5" customHeight="1">
      <c r="A9" s="5" t="s">
        <v>54</v>
      </c>
      <c r="B9" s="5" t="s">
        <v>55</v>
      </c>
      <c r="C9" s="5" t="s">
        <v>56</v>
      </c>
      <c r="D9" s="6"/>
      <c r="E9" s="6"/>
      <c r="F9" s="6">
        <f t="shared" si="0"/>
        <v>0</v>
      </c>
      <c r="G9" s="6" t="e">
        <f>F9+#REF!</f>
        <v>#REF!</v>
      </c>
      <c r="H9" s="6" t="e">
        <f>F9+#REF!</f>
        <v>#REF!</v>
      </c>
      <c r="I9" s="6" t="e">
        <f>F9+#REF!</f>
        <v>#REF!</v>
      </c>
      <c r="K9" s="3"/>
      <c r="L9" s="3"/>
      <c r="M9" s="3"/>
    </row>
    <row r="10" spans="1:13" ht="19.5" customHeight="1">
      <c r="A10" s="53" t="s">
        <v>63</v>
      </c>
      <c r="B10" s="5" t="s">
        <v>64</v>
      </c>
      <c r="C10" s="5" t="s">
        <v>19</v>
      </c>
      <c r="D10" s="8">
        <v>14880</v>
      </c>
      <c r="E10" s="8">
        <v>14820</v>
      </c>
      <c r="F10" s="6">
        <f t="shared" si="0"/>
        <v>29700</v>
      </c>
      <c r="G10" s="6" t="e">
        <f>F10+#REF!</f>
        <v>#REF!</v>
      </c>
      <c r="H10" s="6" t="e">
        <f>F10+#REF!</f>
        <v>#REF!</v>
      </c>
      <c r="I10" s="6" t="e">
        <f>F10+#REF!</f>
        <v>#REF!</v>
      </c>
      <c r="J10" s="3">
        <f t="shared" ref="J10:M10" si="1">F10+F11+F12+F13+F14+F15+F19</f>
        <v>143820</v>
      </c>
      <c r="K10" s="3" t="e">
        <f t="shared" si="1"/>
        <v>#REF!</v>
      </c>
      <c r="L10" s="3" t="e">
        <f t="shared" si="1"/>
        <v>#REF!</v>
      </c>
      <c r="M10" s="3" t="e">
        <f t="shared" si="1"/>
        <v>#REF!</v>
      </c>
    </row>
    <row r="11" spans="1:13" ht="19.5" customHeight="1">
      <c r="A11" s="53"/>
      <c r="B11" s="5" t="s">
        <v>71</v>
      </c>
      <c r="C11" s="5" t="s">
        <v>19</v>
      </c>
      <c r="D11" s="8">
        <v>39360</v>
      </c>
      <c r="E11" s="8">
        <v>37710</v>
      </c>
      <c r="F11" s="6">
        <f t="shared" si="0"/>
        <v>77070</v>
      </c>
      <c r="G11" s="6" t="e">
        <f>F11+#REF!</f>
        <v>#REF!</v>
      </c>
      <c r="H11" s="6" t="e">
        <f>F11+#REF!</f>
        <v>#REF!</v>
      </c>
      <c r="I11" s="6" t="e">
        <f>F11+#REF!</f>
        <v>#REF!</v>
      </c>
      <c r="J11" s="3">
        <f t="shared" ref="J11:M11" si="2">F4-J10</f>
        <v>0</v>
      </c>
      <c r="K11" s="3" t="e">
        <f t="shared" si="2"/>
        <v>#REF!</v>
      </c>
      <c r="L11" s="3" t="e">
        <f t="shared" si="2"/>
        <v>#REF!</v>
      </c>
      <c r="M11" s="3" t="e">
        <f t="shared" si="2"/>
        <v>#REF!</v>
      </c>
    </row>
    <row r="12" spans="1:13" ht="19.5" customHeight="1">
      <c r="A12" s="53"/>
      <c r="B12" s="5" t="s">
        <v>78</v>
      </c>
      <c r="C12" s="5" t="s">
        <v>19</v>
      </c>
      <c r="D12" s="8">
        <v>8940</v>
      </c>
      <c r="E12" s="8">
        <v>8970</v>
      </c>
      <c r="F12" s="6">
        <f t="shared" si="0"/>
        <v>17910</v>
      </c>
      <c r="G12" s="6" t="e">
        <f>F12+#REF!</f>
        <v>#REF!</v>
      </c>
      <c r="H12" s="6" t="e">
        <f>F12+#REF!</f>
        <v>#REF!</v>
      </c>
      <c r="I12" s="6" t="e">
        <f>F12+#REF!</f>
        <v>#REF!</v>
      </c>
      <c r="J12" s="3"/>
      <c r="K12" s="3"/>
      <c r="L12" s="3"/>
      <c r="M12" s="3"/>
    </row>
    <row r="13" spans="1:13" ht="19.5" customHeight="1">
      <c r="A13" s="53"/>
      <c r="B13" s="5" t="s">
        <v>189</v>
      </c>
      <c r="C13" s="5" t="s">
        <v>19</v>
      </c>
      <c r="D13" s="6"/>
      <c r="E13" s="6"/>
      <c r="F13" s="6">
        <f t="shared" si="0"/>
        <v>0</v>
      </c>
      <c r="G13" s="6" t="e">
        <f>F13+#REF!</f>
        <v>#REF!</v>
      </c>
      <c r="H13" s="6" t="e">
        <f>F13+#REF!</f>
        <v>#REF!</v>
      </c>
      <c r="I13" s="6" t="e">
        <f>F13+#REF!</f>
        <v>#REF!</v>
      </c>
      <c r="J13" s="3"/>
      <c r="K13" s="3"/>
      <c r="L13" s="3"/>
      <c r="M13" s="3"/>
    </row>
    <row r="14" spans="1:13" ht="19.5" customHeight="1">
      <c r="A14" s="53"/>
      <c r="B14" s="5" t="s">
        <v>85</v>
      </c>
      <c r="C14" s="5" t="s">
        <v>19</v>
      </c>
      <c r="D14" s="8">
        <v>2730</v>
      </c>
      <c r="E14" s="8">
        <v>2580</v>
      </c>
      <c r="F14" s="6">
        <f t="shared" si="0"/>
        <v>5310</v>
      </c>
      <c r="G14" s="6" t="e">
        <f>F14+#REF!</f>
        <v>#REF!</v>
      </c>
      <c r="H14" s="6" t="e">
        <f>F14+#REF!</f>
        <v>#REF!</v>
      </c>
      <c r="I14" s="6" t="e">
        <f>F14+#REF!</f>
        <v>#REF!</v>
      </c>
      <c r="J14" s="3"/>
    </row>
    <row r="15" spans="1:13" ht="19.5" customHeight="1">
      <c r="A15" s="53"/>
      <c r="B15" s="5" t="s">
        <v>92</v>
      </c>
      <c r="C15" s="5" t="s">
        <v>19</v>
      </c>
      <c r="D15" s="8">
        <v>7050</v>
      </c>
      <c r="E15" s="8">
        <v>6780</v>
      </c>
      <c r="F15" s="6">
        <f t="shared" si="0"/>
        <v>13830</v>
      </c>
      <c r="G15" s="6" t="e">
        <f>F15+#REF!</f>
        <v>#REF!</v>
      </c>
      <c r="H15" s="6" t="e">
        <f>F15+#REF!</f>
        <v>#REF!</v>
      </c>
      <c r="I15" s="6" t="e">
        <f>F15+#REF!</f>
        <v>#REF!</v>
      </c>
      <c r="J15" s="3"/>
    </row>
    <row r="16" spans="1:13" ht="19.5" customHeight="1">
      <c r="A16" s="53"/>
      <c r="B16" s="5" t="s">
        <v>190</v>
      </c>
      <c r="C16" s="5" t="s">
        <v>19</v>
      </c>
      <c r="D16" s="5"/>
      <c r="E16" s="5"/>
      <c r="F16" s="6">
        <f t="shared" si="0"/>
        <v>0</v>
      </c>
      <c r="G16" s="6" t="e">
        <f>F16+#REF!</f>
        <v>#REF!</v>
      </c>
      <c r="H16" s="6" t="e">
        <f>F16+#REF!</f>
        <v>#REF!</v>
      </c>
      <c r="I16" s="6" t="e">
        <f>F16+#REF!</f>
        <v>#REF!</v>
      </c>
      <c r="J16" s="3"/>
      <c r="K16" s="3"/>
      <c r="L16" s="3"/>
    </row>
    <row r="17" spans="1:15" ht="16.5">
      <c r="A17" s="53"/>
      <c r="B17" s="5" t="s">
        <v>191</v>
      </c>
      <c r="C17" s="5" t="s">
        <v>19</v>
      </c>
      <c r="D17" s="6"/>
      <c r="E17" s="6"/>
      <c r="F17" s="6">
        <f t="shared" si="0"/>
        <v>0</v>
      </c>
      <c r="G17" s="6" t="e">
        <f>F17+#REF!</f>
        <v>#REF!</v>
      </c>
      <c r="H17" s="6" t="e">
        <f>F17+#REF!</f>
        <v>#REF!</v>
      </c>
      <c r="I17" s="6" t="e">
        <f>F17+#REF!</f>
        <v>#REF!</v>
      </c>
      <c r="J17" s="3"/>
      <c r="K17" s="3"/>
      <c r="L17" s="3"/>
      <c r="M17" s="3"/>
    </row>
    <row r="18" spans="1:15" ht="16.5">
      <c r="A18" s="53"/>
      <c r="B18" s="5" t="s">
        <v>192</v>
      </c>
      <c r="C18" s="5" t="s">
        <v>19</v>
      </c>
      <c r="D18" s="6"/>
      <c r="E18" s="6"/>
      <c r="F18" s="6">
        <f t="shared" si="0"/>
        <v>0</v>
      </c>
      <c r="G18" s="6" t="e">
        <f>F18+#REF!</f>
        <v>#REF!</v>
      </c>
      <c r="H18" s="6" t="e">
        <f>F18+#REF!</f>
        <v>#REF!</v>
      </c>
      <c r="I18" s="6" t="e">
        <f>F18+#REF!</f>
        <v>#REF!</v>
      </c>
      <c r="J18" s="3"/>
      <c r="K18" s="3"/>
      <c r="L18" s="3"/>
      <c r="M18" s="3"/>
    </row>
    <row r="19" spans="1:15" ht="19.5" customHeight="1">
      <c r="A19" s="53"/>
      <c r="B19" s="5" t="s">
        <v>193</v>
      </c>
      <c r="C19" s="5" t="s">
        <v>19</v>
      </c>
      <c r="D19" s="5"/>
      <c r="E19" s="5"/>
      <c r="F19" s="6">
        <f t="shared" si="0"/>
        <v>0</v>
      </c>
      <c r="G19" s="6" t="e">
        <f>F19+#REF!</f>
        <v>#REF!</v>
      </c>
      <c r="H19" s="6" t="e">
        <f>F19+#REF!</f>
        <v>#REF!</v>
      </c>
      <c r="I19" s="6" t="e">
        <f>F19+#REF!</f>
        <v>#REF!</v>
      </c>
      <c r="J19" s="3"/>
      <c r="K19" s="3"/>
      <c r="L19" s="3"/>
      <c r="M19" s="3"/>
    </row>
    <row r="20" spans="1:15" ht="19.5" customHeight="1">
      <c r="A20" s="53" t="s">
        <v>99</v>
      </c>
      <c r="B20" s="5" t="s">
        <v>100</v>
      </c>
      <c r="C20" s="5" t="s">
        <v>29</v>
      </c>
      <c r="D20" s="11">
        <v>35</v>
      </c>
      <c r="E20" s="11">
        <v>40</v>
      </c>
      <c r="F20" s="6">
        <f t="shared" si="0"/>
        <v>75</v>
      </c>
      <c r="G20" s="6" t="e">
        <f>F20+#REF!</f>
        <v>#REF!</v>
      </c>
      <c r="H20" s="6" t="e">
        <f>F20+#REF!</f>
        <v>#REF!</v>
      </c>
      <c r="I20" s="6" t="e">
        <f>F20+#REF!</f>
        <v>#REF!</v>
      </c>
      <c r="J20" s="3">
        <f t="shared" ref="J20:M20" si="3">F20+F21+F23+F22</f>
        <v>2174</v>
      </c>
      <c r="K20" s="3" t="e">
        <f t="shared" si="3"/>
        <v>#REF!</v>
      </c>
      <c r="L20" s="3" t="e">
        <f t="shared" si="3"/>
        <v>#REF!</v>
      </c>
      <c r="M20" s="3" t="e">
        <f t="shared" si="3"/>
        <v>#REF!</v>
      </c>
      <c r="O20" s="1" t="s">
        <v>194</v>
      </c>
    </row>
    <row r="21" spans="1:15" ht="19.5" customHeight="1">
      <c r="A21" s="53"/>
      <c r="B21" s="5" t="s">
        <v>107</v>
      </c>
      <c r="C21" s="5" t="s">
        <v>29</v>
      </c>
      <c r="D21" s="14">
        <v>983</v>
      </c>
      <c r="E21" s="14">
        <v>940</v>
      </c>
      <c r="F21" s="6">
        <f t="shared" si="0"/>
        <v>1923</v>
      </c>
      <c r="G21" s="6" t="e">
        <f>F21+#REF!</f>
        <v>#REF!</v>
      </c>
      <c r="H21" s="6" t="e">
        <f>F21+#REF!</f>
        <v>#REF!</v>
      </c>
      <c r="I21" s="6" t="e">
        <f>F21+#REF!</f>
        <v>#REF!</v>
      </c>
      <c r="J21" s="3">
        <f t="shared" ref="J21:M21" si="4">F7-J20</f>
        <v>0</v>
      </c>
      <c r="K21" s="3" t="e">
        <f t="shared" si="4"/>
        <v>#REF!</v>
      </c>
      <c r="L21" s="3" t="e">
        <f t="shared" si="4"/>
        <v>#REF!</v>
      </c>
      <c r="M21" s="3" t="e">
        <f t="shared" si="4"/>
        <v>#REF!</v>
      </c>
    </row>
    <row r="22" spans="1:15" ht="16.5">
      <c r="A22" s="53"/>
      <c r="B22" s="5" t="s">
        <v>114</v>
      </c>
      <c r="C22" s="5" t="s">
        <v>29</v>
      </c>
      <c r="D22" s="5"/>
      <c r="E22" s="5"/>
      <c r="F22" s="6">
        <f t="shared" si="0"/>
        <v>0</v>
      </c>
      <c r="G22" s="6" t="e">
        <f>F22+#REF!</f>
        <v>#REF!</v>
      </c>
      <c r="H22" s="6" t="e">
        <f>F22+#REF!</f>
        <v>#REF!</v>
      </c>
      <c r="I22" s="6" t="e">
        <f>F22+#REF!</f>
        <v>#REF!</v>
      </c>
      <c r="J22" s="15"/>
      <c r="K22" s="16"/>
      <c r="L22" s="3"/>
      <c r="M22" s="3"/>
    </row>
    <row r="23" spans="1:15" ht="19.5" customHeight="1">
      <c r="A23" s="53"/>
      <c r="B23" s="5" t="s">
        <v>121</v>
      </c>
      <c r="C23" s="5" t="s">
        <v>29</v>
      </c>
      <c r="D23" s="11">
        <v>86</v>
      </c>
      <c r="E23" s="11">
        <v>90</v>
      </c>
      <c r="F23" s="6">
        <f t="shared" si="0"/>
        <v>176</v>
      </c>
      <c r="G23" s="6" t="e">
        <f>F23+#REF!</f>
        <v>#REF!</v>
      </c>
      <c r="H23" s="6" t="e">
        <f>F23+#REF!</f>
        <v>#REF!</v>
      </c>
      <c r="I23" s="6" t="e">
        <f>F23+#REF!</f>
        <v>#REF!</v>
      </c>
      <c r="J23" s="15"/>
      <c r="K23" s="3"/>
      <c r="L23" s="3"/>
      <c r="M23" s="3"/>
      <c r="O23" s="1" t="s">
        <v>195</v>
      </c>
    </row>
    <row r="24" spans="1:15" ht="16.5">
      <c r="A24" s="53" t="s">
        <v>128</v>
      </c>
      <c r="B24" s="6" t="s">
        <v>129</v>
      </c>
      <c r="C24" s="5" t="s">
        <v>130</v>
      </c>
      <c r="D24" s="17">
        <v>0.5</v>
      </c>
      <c r="E24" s="17">
        <v>0.5</v>
      </c>
      <c r="F24" s="18">
        <f t="shared" si="0"/>
        <v>1</v>
      </c>
      <c r="G24" s="18" t="e">
        <f>F24+#REF!</f>
        <v>#REF!</v>
      </c>
      <c r="H24" s="18" t="e">
        <f>F24+#REF!</f>
        <v>#REF!</v>
      </c>
      <c r="I24" s="18" t="e">
        <f>F24+#REF!</f>
        <v>#REF!</v>
      </c>
      <c r="K24" s="3"/>
      <c r="L24" s="3"/>
      <c r="M24" s="3"/>
    </row>
    <row r="25" spans="1:15" ht="16.5">
      <c r="A25" s="53"/>
      <c r="B25" s="6" t="s">
        <v>137</v>
      </c>
      <c r="C25" s="5" t="s">
        <v>130</v>
      </c>
      <c r="D25" s="17">
        <v>0.5</v>
      </c>
      <c r="E25" s="17">
        <v>0.5</v>
      </c>
      <c r="F25" s="18">
        <f t="shared" si="0"/>
        <v>1</v>
      </c>
      <c r="G25" s="18" t="e">
        <f>F25+#REF!</f>
        <v>#REF!</v>
      </c>
      <c r="H25" s="18" t="e">
        <f>F25+#REF!</f>
        <v>#REF!</v>
      </c>
      <c r="I25" s="18" t="e">
        <f>F25+#REF!</f>
        <v>#REF!</v>
      </c>
      <c r="K25" s="3"/>
      <c r="L25" s="3"/>
      <c r="M25" s="3"/>
    </row>
    <row r="26" spans="1:15" ht="16.5">
      <c r="A26" s="53"/>
      <c r="B26" s="6" t="s">
        <v>144</v>
      </c>
      <c r="C26" s="5" t="s">
        <v>130</v>
      </c>
      <c r="D26" s="17">
        <v>0.5</v>
      </c>
      <c r="E26" s="17">
        <v>0.5</v>
      </c>
      <c r="F26" s="18">
        <f t="shared" si="0"/>
        <v>1</v>
      </c>
      <c r="G26" s="18" t="e">
        <f>F26+#REF!</f>
        <v>#REF!</v>
      </c>
      <c r="H26" s="18" t="e">
        <f>F26+#REF!</f>
        <v>#REF!</v>
      </c>
      <c r="I26" s="18" t="e">
        <f>F26+#REF!</f>
        <v>#REF!</v>
      </c>
      <c r="K26" s="3"/>
      <c r="L26" s="3"/>
      <c r="M26" s="3"/>
    </row>
    <row r="27" spans="1:15" ht="19.5" customHeight="1">
      <c r="A27" s="53"/>
      <c r="B27" s="5" t="s">
        <v>151</v>
      </c>
      <c r="C27" s="5" t="s">
        <v>130</v>
      </c>
      <c r="D27" s="18">
        <v>1</v>
      </c>
      <c r="E27" s="18">
        <v>1</v>
      </c>
      <c r="F27" s="18">
        <f t="shared" si="0"/>
        <v>2</v>
      </c>
      <c r="G27" s="18" t="e">
        <f>F27+#REF!</f>
        <v>#REF!</v>
      </c>
      <c r="H27" s="18" t="e">
        <f>F27+#REF!</f>
        <v>#REF!</v>
      </c>
      <c r="I27" s="18" t="e">
        <f>F27+#REF!</f>
        <v>#REF!</v>
      </c>
      <c r="K27" s="3"/>
      <c r="L27" s="3"/>
      <c r="M27" s="3"/>
    </row>
    <row r="28" spans="1:15" ht="16.5">
      <c r="A28" s="53"/>
      <c r="B28" s="6" t="s">
        <v>196</v>
      </c>
      <c r="C28" s="5" t="s">
        <v>130</v>
      </c>
      <c r="D28" s="17">
        <v>0.5</v>
      </c>
      <c r="E28" s="17">
        <v>0.5</v>
      </c>
      <c r="F28" s="18">
        <f t="shared" si="0"/>
        <v>1</v>
      </c>
      <c r="G28" s="18" t="e">
        <f>F28+#REF!</f>
        <v>#REF!</v>
      </c>
      <c r="H28" s="18" t="e">
        <f>F28+#REF!</f>
        <v>#REF!</v>
      </c>
      <c r="I28" s="18" t="e">
        <f>F28+#REF!</f>
        <v>#REF!</v>
      </c>
      <c r="K28" s="3"/>
      <c r="L28" s="3"/>
      <c r="M28" s="3"/>
    </row>
    <row r="29" spans="1:15" ht="16.5">
      <c r="A29" s="53"/>
      <c r="B29" s="6" t="s">
        <v>197</v>
      </c>
      <c r="C29" s="5" t="s">
        <v>130</v>
      </c>
      <c r="D29" s="17">
        <v>0.5</v>
      </c>
      <c r="E29" s="17">
        <v>0.5</v>
      </c>
      <c r="F29" s="18">
        <f t="shared" si="0"/>
        <v>1</v>
      </c>
      <c r="G29" s="18" t="e">
        <f>F29+#REF!</f>
        <v>#REF!</v>
      </c>
      <c r="H29" s="18" t="e">
        <f>F29+#REF!</f>
        <v>#REF!</v>
      </c>
      <c r="I29" s="18" t="e">
        <f>F29+#REF!</f>
        <v>#REF!</v>
      </c>
      <c r="K29" s="3"/>
      <c r="L29" s="3"/>
      <c r="M29" s="3"/>
    </row>
    <row r="30" spans="1:15" ht="16.5">
      <c r="A30" s="53"/>
      <c r="B30" s="6" t="s">
        <v>198</v>
      </c>
      <c r="C30" s="5" t="s">
        <v>130</v>
      </c>
      <c r="D30" s="17">
        <v>0.5</v>
      </c>
      <c r="E30" s="17">
        <v>0.5</v>
      </c>
      <c r="F30" s="18">
        <f t="shared" si="0"/>
        <v>1</v>
      </c>
      <c r="G30" s="18" t="e">
        <f>F30+#REF!</f>
        <v>#REF!</v>
      </c>
      <c r="H30" s="18" t="e">
        <f>F30+#REF!</f>
        <v>#REF!</v>
      </c>
      <c r="I30" s="18" t="e">
        <f>F30+#REF!</f>
        <v>#REF!</v>
      </c>
      <c r="K30" s="3"/>
      <c r="L30" s="3"/>
      <c r="M30" s="3"/>
    </row>
    <row r="31" spans="1:15" ht="19.5" customHeight="1">
      <c r="A31" s="53"/>
      <c r="B31" s="5" t="s">
        <v>151</v>
      </c>
      <c r="C31" s="5" t="s">
        <v>130</v>
      </c>
      <c r="D31" s="18">
        <v>1</v>
      </c>
      <c r="E31" s="18">
        <v>1</v>
      </c>
      <c r="F31" s="18">
        <f t="shared" si="0"/>
        <v>2</v>
      </c>
      <c r="G31" s="18" t="e">
        <f>F31+#REF!</f>
        <v>#REF!</v>
      </c>
      <c r="H31" s="18" t="e">
        <f>F31+#REF!</f>
        <v>#REF!</v>
      </c>
      <c r="I31" s="18" t="e">
        <f>F31+#REF!</f>
        <v>#REF!</v>
      </c>
      <c r="K31" s="3"/>
      <c r="L31" s="19"/>
      <c r="M31" s="3"/>
    </row>
    <row r="32" spans="1:15" ht="19.5" customHeight="1">
      <c r="A32" s="51" t="s">
        <v>199</v>
      </c>
      <c r="B32" s="51"/>
      <c r="C32" s="5" t="s">
        <v>200</v>
      </c>
      <c r="D32" s="5"/>
      <c r="E32" s="5"/>
      <c r="F32" s="5"/>
      <c r="G32" s="18"/>
      <c r="H32" s="18"/>
      <c r="I32" s="18"/>
      <c r="J32" s="19"/>
      <c r="K32" s="3"/>
      <c r="L32" s="3"/>
      <c r="M32" s="3"/>
    </row>
    <row r="33" spans="1:13" ht="19.5" customHeight="1">
      <c r="A33" s="51" t="s">
        <v>201</v>
      </c>
      <c r="B33" s="51"/>
      <c r="C33" s="5" t="s">
        <v>200</v>
      </c>
      <c r="D33" s="5"/>
      <c r="E33" s="5"/>
      <c r="F33" s="5"/>
      <c r="G33" s="5"/>
      <c r="H33" s="18"/>
      <c r="I33" s="5"/>
      <c r="J33" s="19"/>
      <c r="K33" s="3"/>
      <c r="L33" s="3"/>
      <c r="M33" s="3"/>
    </row>
    <row r="34" spans="1:13" ht="33">
      <c r="A34" s="7" t="s">
        <v>185</v>
      </c>
      <c r="B34" s="52"/>
      <c r="C34" s="52"/>
      <c r="D34" s="52"/>
      <c r="E34" s="52"/>
      <c r="F34" s="52"/>
      <c r="G34" s="52"/>
      <c r="H34" s="52"/>
      <c r="I34" s="52"/>
      <c r="J34" s="21"/>
      <c r="K34" s="3"/>
      <c r="L34" s="3"/>
      <c r="M34" s="3"/>
    </row>
    <row r="35" spans="1:13" ht="16.5">
      <c r="A35" s="43" t="s">
        <v>186</v>
      </c>
      <c r="B35" s="43"/>
      <c r="C35" s="43"/>
      <c r="D35" s="43"/>
      <c r="E35" s="43"/>
      <c r="F35" s="43"/>
      <c r="G35" s="43"/>
      <c r="H35" s="43"/>
      <c r="I35" s="43"/>
    </row>
  </sheetData>
  <mergeCells count="14">
    <mergeCell ref="A32:B32"/>
    <mergeCell ref="A33:B33"/>
    <mergeCell ref="B34:I34"/>
    <mergeCell ref="A35:I35"/>
    <mergeCell ref="A4:A5"/>
    <mergeCell ref="A6:A8"/>
    <mergeCell ref="A10:A19"/>
    <mergeCell ref="A20:A23"/>
    <mergeCell ref="A24:A31"/>
    <mergeCell ref="A1:I1"/>
    <mergeCell ref="A2:C2"/>
    <mergeCell ref="D2:F2"/>
    <mergeCell ref="G2:I2"/>
    <mergeCell ref="A3:B3"/>
  </mergeCells>
  <phoneticPr fontId="12"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原文件</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行政</dc:creator>
  <cp:lastModifiedBy>1501</cp:lastModifiedBy>
  <dcterms:created xsi:type="dcterms:W3CDTF">2023-05-15T11:15:00Z</dcterms:created>
  <dcterms:modified xsi:type="dcterms:W3CDTF">2025-11-25T05:12:30Z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2052-12.1.23540.23540</vt:lpwstr>
  </property>
  <property fmtid="{D5CDD505-2E9C-101B-9397-08002B2CF9AE}" pid="3" name="ICV">
    <vt:lpwstr>AB21366FFAA0437C6E8D0969154BEDEC_43</vt:lpwstr>
  </property>
</Properties>
</file>