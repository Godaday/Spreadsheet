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Codes\WebExcel\Spreadsheet\ExcelTemplates\"/>
    </mc:Choice>
  </mc:AlternateContent>
  <bookViews>
    <workbookView xWindow="0" yWindow="0" windowWidth="29100" windowHeight="14565"/>
  </bookViews>
  <sheets>
    <sheet name="Sheet1" sheetId="33" r:id="rId1"/>
    <sheet name="原表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2" l="1"/>
  <c r="I8" i="32"/>
  <c r="H8" i="32"/>
  <c r="G8" i="32"/>
  <c r="F8" i="32"/>
  <c r="I7" i="32"/>
  <c r="H7" i="32"/>
  <c r="G7" i="32"/>
  <c r="F7" i="32"/>
  <c r="I6" i="32"/>
  <c r="H6" i="32"/>
  <c r="G6" i="32"/>
  <c r="F6" i="32"/>
  <c r="E6" i="32"/>
  <c r="D6" i="32"/>
  <c r="I5" i="32"/>
  <c r="H5" i="32"/>
  <c r="G5" i="32"/>
  <c r="F5" i="32"/>
  <c r="I4" i="32"/>
  <c r="H4" i="32"/>
  <c r="G4" i="32"/>
  <c r="F4" i="32"/>
</calcChain>
</file>

<file path=xl/sharedStrings.xml><?xml version="1.0" encoding="utf-8"?>
<sst xmlns="http://schemas.openxmlformats.org/spreadsheetml/2006/main" count="84" uniqueCount="60">
  <si>
    <t>界面数据保存两位，四舍五入</t>
  </si>
  <si>
    <t>供水车间生产日报</t>
  </si>
  <si>
    <t>班组需要看当天上报数据有几个班组，现在是两个班组</t>
  </si>
  <si>
    <t xml:space="preserve">第35生产期   </t>
  </si>
  <si>
    <t>第33天</t>
  </si>
  <si>
    <t>第35期代表第35产季；第31天，这一产季从第一天开始开始计算生产的第多少天。也就是第31批</t>
  </si>
  <si>
    <t>项    目</t>
  </si>
  <si>
    <t>单位</t>
  </si>
  <si>
    <t>甲班</t>
  </si>
  <si>
    <t>乙班</t>
  </si>
  <si>
    <t>丙班</t>
  </si>
  <si>
    <t>日计</t>
  </si>
  <si>
    <t>旬计</t>
  </si>
  <si>
    <t>月计</t>
  </si>
  <si>
    <t>新宁累计</t>
  </si>
  <si>
    <t>昭苏累计</t>
  </si>
  <si>
    <t>新宁+昭苏累计</t>
  </si>
  <si>
    <t>泵
站</t>
  </si>
  <si>
    <t>动力用水</t>
  </si>
  <si>
    <t>立方</t>
  </si>
  <si>
    <t>甲班总供水量*三分之一</t>
  </si>
  <si>
    <t>乙班总供水量*三分之一</t>
  </si>
  <si>
    <t>丙班总供水量*三分之一</t>
  </si>
  <si>
    <t>甲班动力用水+乙班动力用水+丙班动力用水</t>
  </si>
  <si>
    <t>动力用水日计按当旬累计求和
（逢9算旬:例如每月10日-19日，20日-29日，30-9日）</t>
  </si>
  <si>
    <t>动力用水日计按当财务月累计求和
（财务月每月28，包含28，例如10.29-11.28）</t>
  </si>
  <si>
    <t>属于新宁工厂的动力用水日计从当期产季第一天开始累计求和</t>
  </si>
  <si>
    <t>属于昭苏工厂的动力用水日计从当期产季第一天开始累计求和</t>
  </si>
  <si>
    <t>动力用水日计从当期产季第一天开始累计求和</t>
  </si>
  <si>
    <t>制糖用水</t>
  </si>
  <si>
    <t>甲班总供水量*三分之二</t>
  </si>
  <si>
    <t>乙班总供水量*三分之二</t>
  </si>
  <si>
    <t>丙班总供水量*三分之二</t>
  </si>
  <si>
    <t>甲班制糖用水+乙班制糖用水+丙班制糖用水</t>
  </si>
  <si>
    <t>制糖用水日计按当旬累计求和</t>
  </si>
  <si>
    <t>制糖用水日计按当财务月累计求和</t>
  </si>
  <si>
    <t>属于新宁工厂的制糖用水日计从当期产季第一天开始累计求和</t>
  </si>
  <si>
    <t>属于昭苏工厂的制糖用水日计从当期产季第一天开始累计求和</t>
  </si>
  <si>
    <t>制糖用水日计从当期产季第一天开始累计求和</t>
  </si>
  <si>
    <t>总供水量</t>
  </si>
  <si>
    <t>人工填报</t>
  </si>
  <si>
    <t>甲班总供水量+乙班总供水量+丙班总供水量</t>
  </si>
  <si>
    <t>总供水量日计按当旬累计求和</t>
  </si>
  <si>
    <t>总供水量日计按当财务月累计求和</t>
  </si>
  <si>
    <t>属于新宁工厂的总供水量日计从当期产季第一天开始累计求和</t>
  </si>
  <si>
    <t>属于昭苏工厂的总供水量日计从当期产季第一天开始累计求和</t>
  </si>
  <si>
    <t>总供水量日计从当期产季第一天开始累计求和</t>
  </si>
  <si>
    <t>备
注</t>
  </si>
  <si>
    <t>上水量（立方/小时）：</t>
  </si>
  <si>
    <t>总供水量日计/24</t>
  </si>
  <si>
    <t>车间主任：刘必胜                                           统计员：孙翟娅</t>
  </si>
  <si>
    <t>第32天</t>
  </si>
  <si>
    <t>累计</t>
  </si>
  <si>
    <t>总用水量</t>
  </si>
  <si>
    <t>动力车间</t>
  </si>
  <si>
    <t>制糖车间</t>
  </si>
  <si>
    <t>供水用电</t>
  </si>
  <si>
    <t>度</t>
  </si>
  <si>
    <t>环保用电</t>
  </si>
  <si>
    <t>11月1日上水量（立方/小时）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</si>
</sst>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0_ "/>
  </numFmts>
  <fonts count="9">
    <font>
      <sz val="11"/>
      <color theme="1"/>
      <name val="宋体"/>
      <charset val="134"/>
      <scheme val="minor"/>
    </font>
    <font>
      <b/>
      <sz val="12"/>
      <name val="宋体"/>
      <family val="3"/>
      <charset val="134"/>
    </font>
    <font>
      <sz val="18"/>
      <name val="方正小标宋简体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2"/>
      <color rgb="FF7030A0"/>
      <name val="宋体"/>
      <family val="3"/>
      <charset val="134"/>
    </font>
    <font>
      <i/>
      <sz val="12"/>
      <color rgb="FF92D050"/>
      <name val="宋体"/>
      <family val="3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78" fontId="3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31" fontId="4" fillId="4" borderId="2" xfId="0" applyNumberFormat="1" applyFont="1" applyFill="1" applyBorder="1" applyAlignment="1">
      <alignment horizontal="center" vertical="center"/>
    </xf>
    <xf numFmtId="31" fontId="4" fillId="4" borderId="3" xfId="0" applyNumberFormat="1" applyFont="1" applyFill="1" applyBorder="1" applyAlignment="1">
      <alignment horizontal="center" vertical="center"/>
    </xf>
    <xf numFmtId="31" fontId="4" fillId="4" borderId="4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1" fontId="4" fillId="0" borderId="2" xfId="0" applyNumberFormat="1" applyFont="1" applyFill="1" applyBorder="1" applyAlignment="1">
      <alignment horizontal="center" vertical="center"/>
    </xf>
    <xf numFmtId="31" fontId="4" fillId="0" borderId="3" xfId="0" applyNumberFormat="1" applyFont="1" applyFill="1" applyBorder="1" applyAlignment="1">
      <alignment horizontal="center" vertical="center"/>
    </xf>
    <xf numFmtId="31" fontId="4" fillId="0" borderId="4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2063750</xdr:colOff>
      <xdr:row>0</xdr:row>
      <xdr:rowOff>76200</xdr:rowOff>
    </xdr:from>
    <xdr:to>
      <xdr:col>11</xdr:col>
      <xdr:colOff>635000</xdr:colOff>
      <xdr:row>0</xdr:row>
      <xdr:rowOff>414655</xdr:rowOff>
    </xdr:to>
    <xdr:sp macro="" textlink="">
      <xdr:nvSpPr>
        <xdr:cNvPr id="2" name="圆角矩形 1"/>
        <xdr:cNvSpPr/>
      </xdr:nvSpPr>
      <xdr:spPr>
        <a:xfrm>
          <a:off x="16164560" y="76200"/>
          <a:ext cx="75120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提交</a:t>
          </a:r>
        </a:p>
      </xdr:txBody>
    </xdr:sp>
    <xdr:clientData/>
  </xdr:twoCellAnchor>
  <xdr:twoCellAnchor>
    <xdr:from>
      <xdr:col>11</xdr:col>
      <xdr:colOff>756920</xdr:colOff>
      <xdr:row>0</xdr:row>
      <xdr:rowOff>84455</xdr:rowOff>
    </xdr:from>
    <xdr:to>
      <xdr:col>11</xdr:col>
      <xdr:colOff>1732280</xdr:colOff>
      <xdr:row>0</xdr:row>
      <xdr:rowOff>422910</xdr:rowOff>
    </xdr:to>
    <xdr:sp macro="" textlink="">
      <xdr:nvSpPr>
        <xdr:cNvPr id="4" name="圆角矩形 3"/>
        <xdr:cNvSpPr/>
      </xdr:nvSpPr>
      <xdr:spPr>
        <a:xfrm>
          <a:off x="17037685" y="84455"/>
          <a:ext cx="975360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审核确认</a:t>
          </a:r>
        </a:p>
      </xdr:txBody>
    </xdr:sp>
    <xdr:clientData/>
  </xdr:twoCellAnchor>
  <xdr:twoCellAnchor>
    <xdr:from>
      <xdr:col>1</xdr:col>
      <xdr:colOff>139700</xdr:colOff>
      <xdr:row>0</xdr:row>
      <xdr:rowOff>76200</xdr:rowOff>
    </xdr:from>
    <xdr:to>
      <xdr:col>3</xdr:col>
      <xdr:colOff>138430</xdr:colOff>
      <xdr:row>0</xdr:row>
      <xdr:rowOff>431800</xdr:rowOff>
    </xdr:to>
    <xdr:sp macro="" textlink="">
      <xdr:nvSpPr>
        <xdr:cNvPr id="6" name="圆角矩形 5"/>
        <xdr:cNvSpPr/>
      </xdr:nvSpPr>
      <xdr:spPr>
        <a:xfrm>
          <a:off x="753110" y="76200"/>
          <a:ext cx="1512570" cy="3556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altLang="zh-CN" sz="1200" b="1">
              <a:solidFill>
                <a:sysClr val="windowText" lastClr="000000"/>
              </a:solidFill>
            </a:rPr>
            <a:t>2025-11-10</a:t>
          </a:r>
        </a:p>
      </xdr:txBody>
    </xdr:sp>
    <xdr:clientData/>
  </xdr:twoCellAnchor>
  <xdr:twoCellAnchor editAs="oneCell">
    <xdr:from>
      <xdr:col>2</xdr:col>
      <xdr:colOff>307340</xdr:colOff>
      <xdr:row>0</xdr:row>
      <xdr:rowOff>99060</xdr:rowOff>
    </xdr:from>
    <xdr:to>
      <xdr:col>2</xdr:col>
      <xdr:colOff>607060</xdr:colOff>
      <xdr:row>0</xdr:row>
      <xdr:rowOff>398780</xdr:rowOff>
    </xdr:to>
    <xdr:pic>
      <xdr:nvPicPr>
        <xdr:cNvPr id="7" name="图片 6" descr="日期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820545" y="99060"/>
          <a:ext cx="299720" cy="299720"/>
        </a:xfrm>
        <a:prstGeom prst="rect">
          <a:avLst/>
        </a:prstGeom>
      </xdr:spPr>
    </xdr:pic>
    <xdr:clientData/>
  </xdr:twoCellAnchor>
  <xdr:twoCellAnchor>
    <xdr:from>
      <xdr:col>10</xdr:col>
      <xdr:colOff>1141095</xdr:colOff>
      <xdr:row>0</xdr:row>
      <xdr:rowOff>76835</xdr:rowOff>
    </xdr:from>
    <xdr:to>
      <xdr:col>10</xdr:col>
      <xdr:colOff>1959610</xdr:colOff>
      <xdr:row>0</xdr:row>
      <xdr:rowOff>415290</xdr:rowOff>
    </xdr:to>
    <xdr:sp macro="" textlink="">
      <xdr:nvSpPr>
        <xdr:cNvPr id="5" name="圆角矩形 4"/>
        <xdr:cNvSpPr/>
      </xdr:nvSpPr>
      <xdr:spPr>
        <a:xfrm>
          <a:off x="15241905" y="76835"/>
          <a:ext cx="81851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编辑</a:t>
          </a:r>
        </a:p>
      </xdr:txBody>
    </xdr:sp>
    <xdr:clientData/>
  </xdr:twoCellAnchor>
  <xdr:twoCellAnchor>
    <xdr:from>
      <xdr:col>10</xdr:col>
      <xdr:colOff>171450</xdr:colOff>
      <xdr:row>0</xdr:row>
      <xdr:rowOff>82550</xdr:rowOff>
    </xdr:from>
    <xdr:to>
      <xdr:col>10</xdr:col>
      <xdr:colOff>989965</xdr:colOff>
      <xdr:row>0</xdr:row>
      <xdr:rowOff>421005</xdr:rowOff>
    </xdr:to>
    <xdr:sp macro="" textlink="">
      <xdr:nvSpPr>
        <xdr:cNvPr id="8" name="圆角矩形 7"/>
        <xdr:cNvSpPr/>
      </xdr:nvSpPr>
      <xdr:spPr>
        <a:xfrm>
          <a:off x="14272260" y="82550"/>
          <a:ext cx="81851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导出</a:t>
          </a:r>
        </a:p>
      </xdr:txBody>
    </xdr:sp>
    <xdr:clientData/>
  </xdr:twoCellAnchor>
  <xdr:twoCellAnchor>
    <xdr:from>
      <xdr:col>3</xdr:col>
      <xdr:colOff>314325</xdr:colOff>
      <xdr:row>0</xdr:row>
      <xdr:rowOff>66040</xdr:rowOff>
    </xdr:from>
    <xdr:to>
      <xdr:col>4</xdr:col>
      <xdr:colOff>561340</xdr:colOff>
      <xdr:row>0</xdr:row>
      <xdr:rowOff>421640</xdr:rowOff>
    </xdr:to>
    <xdr:grpSp>
      <xdr:nvGrpSpPr>
        <xdr:cNvPr id="9" name="组合 8"/>
        <xdr:cNvGrpSpPr/>
      </xdr:nvGrpSpPr>
      <xdr:grpSpPr>
        <a:xfrm>
          <a:off x="2755106" y="66040"/>
          <a:ext cx="1699578" cy="355600"/>
          <a:chOff x="2565" y="85"/>
          <a:chExt cx="2376" cy="560"/>
        </a:xfrm>
      </xdr:grpSpPr>
      <xdr:sp macro="" textlink="">
        <xdr:nvSpPr>
          <xdr:cNvPr id="10" name="圆角矩形 9"/>
          <xdr:cNvSpPr/>
        </xdr:nvSpPr>
        <xdr:spPr>
          <a:xfrm>
            <a:off x="2565" y="85"/>
            <a:ext cx="2376" cy="56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 b="1">
                <a:solidFill>
                  <a:sysClr val="windowText" lastClr="000000"/>
                </a:solidFill>
              </a:rPr>
              <a:t>新宁糖业</a:t>
            </a:r>
          </a:p>
        </xdr:txBody>
      </xdr:sp>
      <xdr:sp macro="" textlink="">
        <xdr:nvSpPr>
          <xdr:cNvPr id="11" name="等腰三角形 10"/>
          <xdr:cNvSpPr/>
        </xdr:nvSpPr>
        <xdr:spPr>
          <a:xfrm rot="10800000" flipH="1">
            <a:off x="4328" y="208"/>
            <a:ext cx="416" cy="303"/>
          </a:xfrm>
          <a:prstGeom prst="triangle">
            <a:avLst/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zoomScale="80" zoomScaleNormal="80" workbookViewId="0">
      <pane ySplit="4" topLeftCell="A5" activePane="bottomLeft" state="frozen"/>
      <selection pane="bottomLeft" activeCell="H24" sqref="H24"/>
    </sheetView>
  </sheetViews>
  <sheetFormatPr defaultColWidth="9" defaultRowHeight="14.25"/>
  <cols>
    <col min="1" max="1" width="9.25" style="1" customWidth="1"/>
    <col min="2" max="2" width="13.625" style="1" customWidth="1"/>
    <col min="3" max="3" width="9.25" style="3" customWidth="1"/>
    <col min="4" max="4" width="19.125" style="1" customWidth="1"/>
    <col min="5" max="6" width="16.875" style="1" customWidth="1"/>
    <col min="7" max="7" width="27.375" style="18" customWidth="1"/>
    <col min="8" max="8" width="35.125" style="1" customWidth="1"/>
    <col min="9" max="11" width="33" style="1" customWidth="1"/>
    <col min="12" max="12" width="31.875" style="3" customWidth="1"/>
    <col min="13" max="16384" width="9" style="1"/>
  </cols>
  <sheetData>
    <row r="1" spans="1:14" ht="38.1" customHeight="1">
      <c r="A1" s="32" t="s">
        <v>0</v>
      </c>
      <c r="B1" s="32"/>
      <c r="C1" s="32"/>
      <c r="D1" s="32"/>
      <c r="E1" s="32"/>
      <c r="F1" s="32"/>
      <c r="G1" s="33"/>
      <c r="H1" s="32"/>
      <c r="I1" s="32"/>
      <c r="J1" s="32"/>
      <c r="K1" s="32"/>
      <c r="L1" s="32"/>
    </row>
    <row r="2" spans="1:14" ht="22.5">
      <c r="A2" s="34" t="s">
        <v>1</v>
      </c>
      <c r="B2" s="34"/>
      <c r="C2" s="34"/>
      <c r="D2" s="34"/>
      <c r="E2" s="34"/>
      <c r="F2" s="34"/>
      <c r="G2" s="35"/>
      <c r="H2" s="34"/>
      <c r="I2" s="34"/>
      <c r="J2" s="34"/>
      <c r="K2" s="34"/>
      <c r="L2" s="34"/>
      <c r="N2" s="19" t="s">
        <v>2</v>
      </c>
    </row>
    <row r="3" spans="1:14" ht="30" customHeight="1">
      <c r="A3" s="36" t="s">
        <v>3</v>
      </c>
      <c r="B3" s="36"/>
      <c r="C3" s="36"/>
      <c r="D3" s="37" t="s">
        <v>4</v>
      </c>
      <c r="E3" s="37"/>
      <c r="F3" s="37"/>
      <c r="G3" s="38"/>
      <c r="H3" s="39">
        <v>45963</v>
      </c>
      <c r="I3" s="40"/>
      <c r="J3" s="40"/>
      <c r="K3" s="40"/>
      <c r="L3" s="41"/>
      <c r="N3" s="19" t="s">
        <v>5</v>
      </c>
    </row>
    <row r="4" spans="1:14" s="2" customFormat="1" ht="30" customHeight="1">
      <c r="A4" s="42" t="s">
        <v>6</v>
      </c>
      <c r="B4" s="43"/>
      <c r="C4" s="20" t="s">
        <v>7</v>
      </c>
      <c r="D4" s="21" t="s">
        <v>8</v>
      </c>
      <c r="E4" s="21" t="s">
        <v>9</v>
      </c>
      <c r="F4" s="21" t="s">
        <v>10</v>
      </c>
      <c r="G4" s="22" t="s">
        <v>11</v>
      </c>
      <c r="H4" s="23" t="s">
        <v>12</v>
      </c>
      <c r="I4" s="21" t="s">
        <v>13</v>
      </c>
      <c r="J4" s="21" t="s">
        <v>14</v>
      </c>
      <c r="K4" s="21" t="s">
        <v>15</v>
      </c>
      <c r="L4" s="20" t="s">
        <v>16</v>
      </c>
    </row>
    <row r="5" spans="1:14" s="2" customFormat="1" ht="49.5">
      <c r="A5" s="48" t="s">
        <v>17</v>
      </c>
      <c r="B5" s="21" t="s">
        <v>18</v>
      </c>
      <c r="C5" s="20" t="s">
        <v>19</v>
      </c>
      <c r="D5" s="24" t="s">
        <v>20</v>
      </c>
      <c r="E5" s="24" t="s">
        <v>21</v>
      </c>
      <c r="F5" s="24" t="s">
        <v>22</v>
      </c>
      <c r="G5" s="25" t="s">
        <v>23</v>
      </c>
      <c r="H5" s="26" t="s">
        <v>24</v>
      </c>
      <c r="I5" s="26" t="s">
        <v>25</v>
      </c>
      <c r="J5" s="26" t="s">
        <v>26</v>
      </c>
      <c r="K5" s="26" t="s">
        <v>27</v>
      </c>
      <c r="L5" s="25" t="s">
        <v>28</v>
      </c>
    </row>
    <row r="6" spans="1:14" s="2" customFormat="1" ht="33">
      <c r="A6" s="49"/>
      <c r="B6" s="21" t="s">
        <v>29</v>
      </c>
      <c r="C6" s="20" t="s">
        <v>19</v>
      </c>
      <c r="D6" s="24" t="s">
        <v>30</v>
      </c>
      <c r="E6" s="24" t="s">
        <v>31</v>
      </c>
      <c r="F6" s="24" t="s">
        <v>32</v>
      </c>
      <c r="G6" s="25" t="s">
        <v>33</v>
      </c>
      <c r="H6" s="26" t="s">
        <v>34</v>
      </c>
      <c r="I6" s="26" t="s">
        <v>35</v>
      </c>
      <c r="J6" s="26" t="s">
        <v>36</v>
      </c>
      <c r="K6" s="26" t="s">
        <v>37</v>
      </c>
      <c r="L6" s="25" t="s">
        <v>38</v>
      </c>
    </row>
    <row r="7" spans="1:14" s="2" customFormat="1" ht="33">
      <c r="A7" s="49"/>
      <c r="B7" s="21" t="s">
        <v>39</v>
      </c>
      <c r="C7" s="21" t="s">
        <v>19</v>
      </c>
      <c r="D7" s="27" t="s">
        <v>40</v>
      </c>
      <c r="E7" s="27" t="s">
        <v>40</v>
      </c>
      <c r="F7" s="27" t="s">
        <v>40</v>
      </c>
      <c r="G7" s="25" t="s">
        <v>41</v>
      </c>
      <c r="H7" s="26" t="s">
        <v>42</v>
      </c>
      <c r="I7" s="26" t="s">
        <v>43</v>
      </c>
      <c r="J7" s="26" t="s">
        <v>44</v>
      </c>
      <c r="K7" s="26" t="s">
        <v>45</v>
      </c>
      <c r="L7" s="25" t="s">
        <v>46</v>
      </c>
    </row>
    <row r="8" spans="1:14" ht="30" customHeight="1">
      <c r="A8" s="50" t="s">
        <v>47</v>
      </c>
      <c r="B8" s="52" t="s">
        <v>40</v>
      </c>
      <c r="C8" s="53"/>
      <c r="D8" s="53"/>
      <c r="E8" s="53"/>
      <c r="F8" s="53"/>
      <c r="G8" s="54"/>
      <c r="H8" s="53"/>
      <c r="I8" s="53"/>
      <c r="J8" s="53"/>
      <c r="K8" s="53"/>
      <c r="L8" s="55"/>
    </row>
    <row r="9" spans="1:14" ht="30" customHeight="1">
      <c r="A9" s="49"/>
      <c r="B9" s="56"/>
      <c r="C9" s="57"/>
      <c r="D9" s="57"/>
      <c r="E9" s="57"/>
      <c r="F9" s="57"/>
      <c r="G9" s="58"/>
      <c r="H9" s="57"/>
      <c r="I9" s="57"/>
      <c r="J9" s="57"/>
      <c r="K9" s="57"/>
      <c r="L9" s="59"/>
    </row>
    <row r="10" spans="1:14" ht="30" customHeight="1">
      <c r="A10" s="51"/>
      <c r="B10" s="60"/>
      <c r="C10" s="61"/>
      <c r="D10" s="61"/>
      <c r="E10" s="61"/>
      <c r="F10" s="61"/>
      <c r="G10" s="62"/>
      <c r="H10" s="61"/>
      <c r="I10" s="61"/>
      <c r="J10" s="61"/>
      <c r="K10" s="61"/>
      <c r="L10" s="63"/>
    </row>
    <row r="11" spans="1:14" ht="60" customHeight="1">
      <c r="A11" s="28" t="s">
        <v>48</v>
      </c>
      <c r="B11" s="44" t="s">
        <v>49</v>
      </c>
      <c r="C11" s="44"/>
      <c r="D11" s="44"/>
      <c r="E11" s="44"/>
      <c r="F11" s="44"/>
      <c r="G11" s="45"/>
      <c r="H11" s="44"/>
      <c r="I11" s="44"/>
      <c r="J11" s="44"/>
      <c r="K11" s="44"/>
      <c r="L11" s="44"/>
    </row>
    <row r="12" spans="1:14" ht="21.95" customHeight="1">
      <c r="A12" s="46" t="s">
        <v>50</v>
      </c>
      <c r="B12" s="46"/>
      <c r="C12" s="46"/>
      <c r="D12" s="46"/>
      <c r="E12" s="46"/>
      <c r="F12" s="46"/>
      <c r="G12" s="47"/>
      <c r="H12" s="46"/>
      <c r="I12" s="46"/>
      <c r="J12" s="46"/>
      <c r="K12" s="46"/>
      <c r="L12" s="46"/>
    </row>
    <row r="13" spans="1:14" ht="16.5">
      <c r="A13" s="11"/>
      <c r="B13" s="11"/>
      <c r="C13" s="12"/>
      <c r="D13" s="11"/>
      <c r="E13" s="11"/>
      <c r="F13" s="11"/>
      <c r="G13" s="29"/>
      <c r="H13" s="11"/>
      <c r="I13" s="11"/>
      <c r="J13" s="11"/>
      <c r="K13" s="11"/>
      <c r="L13" s="12"/>
    </row>
    <row r="14" spans="1:14" ht="16.5">
      <c r="A14" s="11"/>
      <c r="B14" s="11"/>
      <c r="C14" s="12"/>
      <c r="D14" s="11"/>
      <c r="E14" s="11"/>
      <c r="F14" s="11"/>
      <c r="G14" s="29"/>
      <c r="H14" s="11"/>
      <c r="I14" s="11"/>
      <c r="J14" s="11"/>
      <c r="K14" s="11"/>
      <c r="L14" s="12"/>
    </row>
    <row r="16" spans="1:14">
      <c r="D16" s="2"/>
      <c r="E16" s="2"/>
      <c r="F16" s="2"/>
      <c r="G16" s="30"/>
      <c r="H16" s="2"/>
      <c r="I16" s="2"/>
      <c r="J16" s="2"/>
      <c r="K16" s="2"/>
      <c r="L16" s="15"/>
    </row>
    <row r="27" spans="3:15">
      <c r="C27" s="15"/>
      <c r="D27" s="2"/>
      <c r="E27" s="2"/>
      <c r="F27" s="2"/>
      <c r="G27" s="31"/>
      <c r="H27" s="2"/>
      <c r="I27" s="2"/>
      <c r="J27" s="2"/>
      <c r="K27" s="2"/>
      <c r="L27" s="15"/>
      <c r="N27" s="2"/>
      <c r="O27" s="16"/>
    </row>
    <row r="28" spans="3:15">
      <c r="C28" s="15"/>
      <c r="D28" s="2"/>
      <c r="E28" s="2"/>
      <c r="F28" s="2"/>
      <c r="G28" s="31"/>
      <c r="H28" s="2"/>
      <c r="I28" s="2"/>
      <c r="J28" s="2"/>
      <c r="K28" s="2"/>
      <c r="L28" s="15"/>
    </row>
    <row r="29" spans="3:15">
      <c r="H29" s="2"/>
    </row>
    <row r="30" spans="3:15">
      <c r="H30" s="2"/>
    </row>
    <row r="31" spans="3:15">
      <c r="H31" s="2"/>
    </row>
    <row r="32" spans="3:15">
      <c r="H32" s="2"/>
    </row>
    <row r="33" spans="8:8">
      <c r="H33" s="2"/>
    </row>
    <row r="34" spans="8:8">
      <c r="H34" s="2"/>
    </row>
    <row r="49" spans="2:2">
      <c r="B49" s="17"/>
    </row>
  </sheetData>
  <mergeCells count="11">
    <mergeCell ref="A4:B4"/>
    <mergeCell ref="B11:L11"/>
    <mergeCell ref="A12:L12"/>
    <mergeCell ref="A5:A7"/>
    <mergeCell ref="A8:A10"/>
    <mergeCell ref="B8:L10"/>
    <mergeCell ref="A1:L1"/>
    <mergeCell ref="A2:L2"/>
    <mergeCell ref="A3:C3"/>
    <mergeCell ref="D3:G3"/>
    <mergeCell ref="H3:L3"/>
  </mergeCells>
  <phoneticPr fontId="8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selection activeCell="K24" sqref="K24"/>
    </sheetView>
  </sheetViews>
  <sheetFormatPr defaultColWidth="9" defaultRowHeight="14.25"/>
  <cols>
    <col min="1" max="1" width="4.625" style="1" customWidth="1"/>
    <col min="2" max="2" width="10.875" style="1" customWidth="1"/>
    <col min="3" max="3" width="5.625" style="3" customWidth="1"/>
    <col min="4" max="5" width="10.625" style="1" customWidth="1"/>
    <col min="6" max="6" width="12" style="3" customWidth="1"/>
    <col min="7" max="7" width="9.5" style="1" customWidth="1"/>
    <col min="8" max="8" width="9.375" style="1" customWidth="1"/>
    <col min="9" max="9" width="12.5" style="3" customWidth="1"/>
    <col min="10" max="16384" width="9" style="1"/>
  </cols>
  <sheetData>
    <row r="1" spans="1:15" ht="22.5">
      <c r="A1" s="64" t="s">
        <v>1</v>
      </c>
      <c r="B1" s="64"/>
      <c r="C1" s="64"/>
      <c r="D1" s="64"/>
      <c r="E1" s="64"/>
      <c r="F1" s="64"/>
      <c r="G1" s="64"/>
      <c r="H1" s="64"/>
      <c r="I1" s="64"/>
    </row>
    <row r="2" spans="1:15" ht="30" customHeight="1">
      <c r="A2" s="44" t="s">
        <v>3</v>
      </c>
      <c r="B2" s="44"/>
      <c r="C2" s="44"/>
      <c r="D2" s="65" t="s">
        <v>51</v>
      </c>
      <c r="E2" s="65"/>
      <c r="F2" s="65"/>
      <c r="G2" s="66">
        <v>45962</v>
      </c>
      <c r="H2" s="67"/>
      <c r="I2" s="68"/>
    </row>
    <row r="3" spans="1:15" s="2" customFormat="1" ht="30" customHeight="1">
      <c r="A3" s="69" t="s">
        <v>6</v>
      </c>
      <c r="B3" s="70"/>
      <c r="C3" s="6" t="s">
        <v>7</v>
      </c>
      <c r="D3" s="7" t="s">
        <v>8</v>
      </c>
      <c r="E3" s="7" t="s">
        <v>9</v>
      </c>
      <c r="F3" s="8" t="s">
        <v>11</v>
      </c>
      <c r="G3" s="8" t="s">
        <v>12</v>
      </c>
      <c r="H3" s="7" t="s">
        <v>13</v>
      </c>
      <c r="I3" s="6" t="s">
        <v>52</v>
      </c>
      <c r="M3" s="2" t="s">
        <v>53</v>
      </c>
      <c r="N3" s="2" t="s">
        <v>54</v>
      </c>
      <c r="O3" s="2" t="s">
        <v>55</v>
      </c>
    </row>
    <row r="4" spans="1:15" s="2" customFormat="1" ht="30" customHeight="1">
      <c r="A4" s="71" t="s">
        <v>17</v>
      </c>
      <c r="B4" s="9" t="s">
        <v>18</v>
      </c>
      <c r="C4" s="6" t="s">
        <v>19</v>
      </c>
      <c r="D4" s="10">
        <v>132</v>
      </c>
      <c r="E4" s="10">
        <v>142</v>
      </c>
      <c r="F4" s="5">
        <f t="shared" ref="F4:F8" si="0">D4+E4</f>
        <v>274</v>
      </c>
      <c r="G4" s="4" t="e">
        <f>F4+#REF!</f>
        <v>#REF!</v>
      </c>
      <c r="H4" s="4" t="e">
        <f>F4+#REF!</f>
        <v>#REF!</v>
      </c>
      <c r="I4" s="5" t="e">
        <f>F4+#REF!</f>
        <v>#REF!</v>
      </c>
      <c r="M4" s="2">
        <v>1566</v>
      </c>
      <c r="N4" s="2">
        <v>522</v>
      </c>
      <c r="O4" s="2">
        <v>1044</v>
      </c>
    </row>
    <row r="5" spans="1:15" s="2" customFormat="1" ht="30" customHeight="1">
      <c r="A5" s="72"/>
      <c r="B5" s="9" t="s">
        <v>29</v>
      </c>
      <c r="C5" s="6" t="s">
        <v>19</v>
      </c>
      <c r="D5" s="10">
        <v>242</v>
      </c>
      <c r="E5" s="10">
        <v>248</v>
      </c>
      <c r="F5" s="5">
        <f t="shared" si="0"/>
        <v>490</v>
      </c>
      <c r="G5" s="4" t="e">
        <f>F5+#REF!</f>
        <v>#REF!</v>
      </c>
      <c r="H5" s="4" t="e">
        <f>F5+#REF!</f>
        <v>#REF!</v>
      </c>
      <c r="I5" s="5" t="e">
        <f>F5+#REF!</f>
        <v>#REF!</v>
      </c>
      <c r="M5" s="2">
        <v>764</v>
      </c>
      <c r="N5" s="2">
        <v>274</v>
      </c>
      <c r="O5" s="2">
        <v>490</v>
      </c>
    </row>
    <row r="6" spans="1:15" s="2" customFormat="1" ht="30" customHeight="1">
      <c r="A6" s="72"/>
      <c r="B6" s="7" t="s">
        <v>39</v>
      </c>
      <c r="C6" s="7" t="s">
        <v>19</v>
      </c>
      <c r="D6" s="10">
        <f>D4+D5</f>
        <v>374</v>
      </c>
      <c r="E6" s="10">
        <f>E4+E5</f>
        <v>390</v>
      </c>
      <c r="F6" s="5">
        <f t="shared" si="0"/>
        <v>764</v>
      </c>
      <c r="G6" s="4" t="e">
        <f>F6+#REF!</f>
        <v>#REF!</v>
      </c>
      <c r="H6" s="4" t="e">
        <f>F6+#REF!</f>
        <v>#REF!</v>
      </c>
      <c r="I6" s="5" t="e">
        <f>F6+#REF!</f>
        <v>#REF!</v>
      </c>
    </row>
    <row r="7" spans="1:15" s="2" customFormat="1" ht="30" customHeight="1">
      <c r="A7" s="72"/>
      <c r="B7" s="7" t="s">
        <v>56</v>
      </c>
      <c r="C7" s="7" t="s">
        <v>57</v>
      </c>
      <c r="D7" s="10">
        <v>8940</v>
      </c>
      <c r="E7" s="10">
        <v>8970</v>
      </c>
      <c r="F7" s="5">
        <f t="shared" si="0"/>
        <v>17910</v>
      </c>
      <c r="G7" s="4" t="e">
        <f>F7+#REF!</f>
        <v>#REF!</v>
      </c>
      <c r="H7" s="4" t="e">
        <f>F7+#REF!</f>
        <v>#REF!</v>
      </c>
      <c r="I7" s="5" t="e">
        <f>F7+#REF!</f>
        <v>#REF!</v>
      </c>
    </row>
    <row r="8" spans="1:15" s="2" customFormat="1" ht="30" customHeight="1">
      <c r="A8" s="72"/>
      <c r="B8" s="7" t="s">
        <v>58</v>
      </c>
      <c r="C8" s="7" t="s">
        <v>57</v>
      </c>
      <c r="D8" s="10">
        <v>2730</v>
      </c>
      <c r="E8" s="10">
        <v>2580</v>
      </c>
      <c r="F8" s="5">
        <f t="shared" si="0"/>
        <v>5310</v>
      </c>
      <c r="G8" s="4" t="e">
        <f>F8+#REF!</f>
        <v>#REF!</v>
      </c>
      <c r="H8" s="4" t="e">
        <f>F8+#REF!</f>
        <v>#REF!</v>
      </c>
      <c r="I8" s="5" t="e">
        <f>F8+#REF!</f>
        <v>#REF!</v>
      </c>
    </row>
    <row r="9" spans="1:15" ht="30" customHeight="1">
      <c r="A9" s="73" t="s">
        <v>47</v>
      </c>
      <c r="B9" s="75"/>
      <c r="C9" s="76"/>
      <c r="D9" s="76"/>
      <c r="E9" s="76"/>
      <c r="F9" s="76"/>
      <c r="G9" s="76"/>
      <c r="H9" s="76"/>
      <c r="I9" s="77"/>
    </row>
    <row r="10" spans="1:15" ht="30" customHeight="1">
      <c r="A10" s="72"/>
      <c r="B10" s="78"/>
      <c r="C10" s="79"/>
      <c r="D10" s="79"/>
      <c r="E10" s="79"/>
      <c r="F10" s="79"/>
      <c r="G10" s="79"/>
      <c r="H10" s="79"/>
      <c r="I10" s="80"/>
    </row>
    <row r="11" spans="1:15" ht="30" customHeight="1">
      <c r="A11" s="74"/>
      <c r="B11" s="81"/>
      <c r="C11" s="82"/>
      <c r="D11" s="82"/>
      <c r="E11" s="82"/>
      <c r="F11" s="82"/>
      <c r="G11" s="82"/>
      <c r="H11" s="82"/>
      <c r="I11" s="83"/>
    </row>
    <row r="12" spans="1:15" ht="16.5">
      <c r="A12" s="11"/>
      <c r="B12" s="11"/>
      <c r="C12" s="12"/>
      <c r="D12" s="11"/>
      <c r="E12" s="11"/>
      <c r="F12" s="12"/>
      <c r="G12" s="11"/>
      <c r="H12" s="11"/>
      <c r="I12" s="12"/>
    </row>
    <row r="13" spans="1:15" ht="16.5">
      <c r="A13" s="46" t="s">
        <v>50</v>
      </c>
      <c r="B13" s="46"/>
      <c r="C13" s="46"/>
      <c r="D13" s="46"/>
      <c r="E13" s="46"/>
      <c r="F13" s="46"/>
      <c r="G13" s="46"/>
      <c r="H13" s="46"/>
      <c r="I13" s="46"/>
    </row>
    <row r="14" spans="1:15" ht="16.5">
      <c r="A14" s="11"/>
      <c r="B14" s="11"/>
      <c r="C14" s="12"/>
      <c r="D14" s="11"/>
      <c r="E14" s="11"/>
      <c r="F14" s="12"/>
      <c r="G14" s="11"/>
      <c r="H14" s="11"/>
      <c r="I14" s="12"/>
    </row>
    <row r="15" spans="1:15" ht="16.5">
      <c r="A15" s="11" t="s">
        <v>59</v>
      </c>
      <c r="B15" s="11"/>
      <c r="C15" s="11"/>
      <c r="D15" s="11"/>
      <c r="E15" s="13">
        <f>F6/24</f>
        <v>31.8333333333333</v>
      </c>
      <c r="F15" s="12"/>
      <c r="G15" s="11"/>
      <c r="H15" s="11"/>
      <c r="I15" s="12"/>
    </row>
    <row r="16" spans="1:15" ht="16.5">
      <c r="A16" s="11"/>
      <c r="B16" s="11"/>
      <c r="C16" s="12"/>
      <c r="D16" s="11"/>
      <c r="E16" s="11"/>
      <c r="F16" s="12"/>
      <c r="G16" s="11"/>
      <c r="H16" s="11"/>
      <c r="I16" s="12"/>
    </row>
    <row r="18" spans="3:12">
      <c r="D18" s="2"/>
      <c r="E18" s="2"/>
      <c r="F18" s="14"/>
      <c r="G18" s="2"/>
      <c r="H18" s="2"/>
      <c r="I18" s="15"/>
    </row>
    <row r="29" spans="3:12">
      <c r="C29" s="15"/>
      <c r="D29" s="2"/>
      <c r="E29" s="2"/>
      <c r="F29" s="15"/>
      <c r="G29" s="2"/>
      <c r="H29" s="2"/>
      <c r="I29" s="15"/>
      <c r="K29" s="2"/>
      <c r="L29" s="16"/>
    </row>
    <row r="30" spans="3:12">
      <c r="C30" s="15"/>
      <c r="D30" s="2"/>
      <c r="E30" s="2"/>
      <c r="F30" s="15"/>
      <c r="G30" s="2"/>
      <c r="H30" s="2"/>
      <c r="I30" s="15"/>
    </row>
    <row r="31" spans="3:12">
      <c r="G31" s="2"/>
    </row>
    <row r="32" spans="3:12">
      <c r="G32" s="2"/>
    </row>
    <row r="33" spans="7:7">
      <c r="G33" s="2"/>
    </row>
    <row r="34" spans="7:7">
      <c r="G34" s="2"/>
    </row>
    <row r="35" spans="7:7">
      <c r="G35" s="2"/>
    </row>
    <row r="36" spans="7:7">
      <c r="G36" s="2"/>
    </row>
    <row r="51" spans="2:2">
      <c r="B51" s="17"/>
    </row>
  </sheetData>
  <mergeCells count="9">
    <mergeCell ref="A13:I13"/>
    <mergeCell ref="A4:A8"/>
    <mergeCell ref="A9:A11"/>
    <mergeCell ref="B9:I11"/>
    <mergeCell ref="A1:I1"/>
    <mergeCell ref="A2:C2"/>
    <mergeCell ref="D2:F2"/>
    <mergeCell ref="G2:I2"/>
    <mergeCell ref="A3:B3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原表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</dc:creator>
  <cp:lastModifiedBy>1501</cp:lastModifiedBy>
  <dcterms:created xsi:type="dcterms:W3CDTF">2023-05-14T19:15:00Z</dcterms:created>
  <dcterms:modified xsi:type="dcterms:W3CDTF">2025-11-25T05:12:42Z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B863E26B7EBDC598828D09694F332D90_43</vt:lpwstr>
  </property>
</Properties>
</file>