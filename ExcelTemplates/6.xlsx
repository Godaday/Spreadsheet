
<file path=[Content_Types].xml><?xml version="1.0" encoding="utf-8"?>
<Types xmlns="http://schemas.openxmlformats.org/package/2006/content-types">
  <Default Extension="png" ContentType="image/png"/>
  <Default Extension="svg" ContentType="image/svg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Codes\WebExcel\Spreadsheet\ExcelTemplates\"/>
    </mc:Choice>
  </mc:AlternateContent>
  <bookViews>
    <workbookView xWindow="0" yWindow="0" windowWidth="29100" windowHeight="14565"/>
  </bookViews>
  <sheets>
    <sheet name="Sheet1" sheetId="1" r:id="rId1"/>
    <sheet name="原文件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2" l="1"/>
  <c r="D36" i="2"/>
  <c r="D34" i="2"/>
  <c r="D33" i="2"/>
  <c r="D32" i="2"/>
  <c r="D30" i="2"/>
  <c r="E29" i="2"/>
  <c r="D28" i="2"/>
  <c r="D27" i="2"/>
  <c r="D26" i="2"/>
  <c r="D25" i="2"/>
  <c r="D24" i="2"/>
  <c r="D23" i="2"/>
  <c r="H22" i="2"/>
  <c r="G22" i="2"/>
  <c r="G21" i="2"/>
  <c r="G20" i="2"/>
  <c r="G19" i="2"/>
  <c r="G18" i="2"/>
  <c r="H17" i="2"/>
  <c r="G17" i="2"/>
  <c r="D17" i="2"/>
  <c r="H13" i="2"/>
  <c r="G13" i="2"/>
  <c r="E13" i="2"/>
  <c r="D13" i="2"/>
  <c r="G6" i="2"/>
  <c r="G5" i="2"/>
  <c r="H4" i="2"/>
  <c r="G4" i="2"/>
</calcChain>
</file>

<file path=xl/comments1.xml><?xml version="1.0" encoding="utf-8"?>
<comments xmlns="http://schemas.openxmlformats.org/spreadsheetml/2006/main">
  <authors>
    <author>作者</author>
    <author>52226</author>
  </authors>
  <commentList>
    <comment ref="H4" authorId="0" shape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菜丝含糖</t>
        </r>
      </text>
    </comment>
    <comment ref="H18" authorId="1" shapeId="0">
      <text>
        <r>
          <rPr>
            <b/>
            <sz val="9"/>
            <rFont val="宋体"/>
            <charset val="134"/>
          </rPr>
          <t>52226:</t>
        </r>
        <r>
          <rPr>
            <sz val="9"/>
            <rFont val="宋体"/>
            <charset val="134"/>
          </rPr>
          <t xml:space="preserve">
对照查表损失</t>
        </r>
      </text>
    </comment>
  </commentList>
</comments>
</file>

<file path=xl/comments2.xml><?xml version="1.0" encoding="utf-8"?>
<comments xmlns="http://schemas.openxmlformats.org/spreadsheetml/2006/main">
  <authors>
    <author>作者</author>
    <author>52226</author>
  </authors>
  <commentList>
    <comment ref="H3" authorId="0" shape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菜丝含糖</t>
        </r>
      </text>
    </comment>
    <comment ref="H18" authorId="1" shapeId="0">
      <text>
        <r>
          <rPr>
            <b/>
            <sz val="9"/>
            <rFont val="宋体"/>
            <charset val="134"/>
          </rPr>
          <t>52226:</t>
        </r>
        <r>
          <rPr>
            <sz val="9"/>
            <rFont val="宋体"/>
            <charset val="134"/>
          </rPr>
          <t xml:space="preserve">
对照查表损失</t>
        </r>
      </text>
    </comment>
  </commentList>
</comments>
</file>

<file path=xl/sharedStrings.xml><?xml version="1.0" encoding="utf-8"?>
<sst xmlns="http://schemas.openxmlformats.org/spreadsheetml/2006/main" count="231" uniqueCount="104">
  <si>
    <t>糖度平衡表11.2</t>
  </si>
  <si>
    <t>单位：</t>
  </si>
  <si>
    <t>新宁糖业</t>
  </si>
  <si>
    <r>
      <rPr>
        <sz val="12"/>
        <rFont val="宋体"/>
        <charset val="134"/>
      </rPr>
      <t>20</t>
    </r>
    <r>
      <rPr>
        <sz val="12"/>
        <color theme="1"/>
        <rFont val="宋体"/>
        <charset val="134"/>
        <scheme val="minor"/>
      </rPr>
      <t>25</t>
    </r>
    <r>
      <rPr>
        <sz val="12"/>
        <rFont val="宋体"/>
        <charset val="134"/>
      </rPr>
      <t>/2026生产期</t>
    </r>
  </si>
  <si>
    <t>项     目</t>
  </si>
  <si>
    <t>重量吨</t>
  </si>
  <si>
    <t>重量%甜菜</t>
  </si>
  <si>
    <t>糖  度(%)</t>
  </si>
  <si>
    <t>糖度量吨</t>
  </si>
  <si>
    <t>对甜菜%</t>
  </si>
  <si>
    <t>甜     菜</t>
  </si>
  <si>
    <t>取综合日报的甜菜加工量</t>
  </si>
  <si>
    <t>人工填写</t>
  </si>
  <si>
    <t>取综合日报的甜菜窖甜菜含糖</t>
  </si>
  <si>
    <t>甜菜重量吨*甜菜糖度/100</t>
  </si>
  <si>
    <t>取甜菜糖度</t>
  </si>
  <si>
    <t>产品</t>
  </si>
  <si>
    <t>成品糖</t>
  </si>
  <si>
    <t>白糖总量</t>
  </si>
  <si>
    <t>取综合日报的糖产量合计</t>
  </si>
  <si>
    <t>白糖重量吨*糖度/100</t>
  </si>
  <si>
    <t>其中:优砂级</t>
  </si>
  <si>
    <t>取综合日报的1.优级终端</t>
  </si>
  <si>
    <t>优砂级重量吨*糖度/100</t>
  </si>
  <si>
    <t>一级砂级</t>
  </si>
  <si>
    <t>取综合日报的    3.白砂糖一级</t>
  </si>
  <si>
    <t>一级砂级重量吨*糖度/100</t>
  </si>
  <si>
    <t>优绵糖</t>
  </si>
  <si>
    <t>取综合日报的4.1绵白糖优级</t>
  </si>
  <si>
    <t>优绵糖重量吨*糖度/100</t>
  </si>
  <si>
    <t>一级绵糖</t>
  </si>
  <si>
    <t>取综合日报的4.2绵白糖一级</t>
  </si>
  <si>
    <t>一级绵糖重量吨*糖度/100</t>
  </si>
  <si>
    <t>在制</t>
  </si>
  <si>
    <t>本期砂糖</t>
  </si>
  <si>
    <t>本期砂糖重量吨*糖度/100</t>
  </si>
  <si>
    <t>上期砂糖</t>
  </si>
  <si>
    <t>上期砂糖重量吨*糖度/100</t>
  </si>
  <si>
    <t>合    计</t>
  </si>
  <si>
    <t>白糖总量+本期砂糖-上期砂糖</t>
  </si>
  <si>
    <t>产品合计重量吨/甜菜重量吨*100</t>
  </si>
  <si>
    <t>白糖总量的糖度量吨+本期砂糖的糖度量吨-上期砂糖的糖度量吨</t>
  </si>
  <si>
    <t>合计的糖度量吨/甜菜的重量吨*100</t>
  </si>
  <si>
    <t>废蜜(标蜜76BX)</t>
  </si>
  <si>
    <t>本期</t>
  </si>
  <si>
    <t>排  出</t>
  </si>
  <si>
    <t>取综合日报的商品蜜产量（锤度76%)日计</t>
  </si>
  <si>
    <t>在  制</t>
  </si>
  <si>
    <t>上期在制</t>
  </si>
  <si>
    <t>废蜜本期排出+废蜜本期在制-上期在制</t>
  </si>
  <si>
    <t>废蜜合计重量吨*废蜜合计糖度/100</t>
  </si>
  <si>
    <t>废蜜合计糖度量吨/甜菜重量吨*100</t>
  </si>
  <si>
    <t>损失</t>
  </si>
  <si>
    <t>废    粕</t>
  </si>
  <si>
    <t>废粕的对甜菜*甜菜的重量吨/100</t>
  </si>
  <si>
    <t>取综合日报的废粕损失（对菜）日计</t>
  </si>
  <si>
    <t>滤    泥</t>
  </si>
  <si>
    <t>滤泥的对甜菜*甜菜重量吨/100</t>
  </si>
  <si>
    <t>取综合日报的滤泥损失（对菜）日计</t>
  </si>
  <si>
    <t>废    蜜（标蜜）</t>
  </si>
  <si>
    <t>废蜜的对甜菜*甜菜重量吨/100</t>
  </si>
  <si>
    <t>取综合日报的糖蜜损失（对菜）日计</t>
  </si>
  <si>
    <t>未    测</t>
  </si>
  <si>
    <t>未测的对甜菜*甜菜重量吨/100</t>
  </si>
  <si>
    <t>总 损 失</t>
  </si>
  <si>
    <t>废粕糖度量吨+滤泥糖度量吨+废蜜糖度量吨+未测糖度量吨</t>
  </si>
  <si>
    <t>废粕对甜菜+滤泥对甜菜+废蜜对甜菜+未测对甜菜</t>
  </si>
  <si>
    <t>菜丝含糖-提糖率</t>
  </si>
  <si>
    <t>甜菜的对甜菜 - 产品合计的重量%甜菜</t>
  </si>
  <si>
    <t>贡献</t>
  </si>
  <si>
    <t>理论提糖率</t>
  </si>
  <si>
    <t>甜菜的对甜菜 - 损失总损失的对甜菜</t>
  </si>
  <si>
    <t>实际提糖率</t>
  </si>
  <si>
    <t>取产品合计重量%甜菜</t>
  </si>
  <si>
    <t>贡献率</t>
  </si>
  <si>
    <t>实际提糖率 - 理论提糖率</t>
  </si>
  <si>
    <t>贡献糖度量</t>
  </si>
  <si>
    <t>贡献率*甜菜的重量吨/100</t>
  </si>
  <si>
    <t>实际糖度量偏差</t>
  </si>
  <si>
    <t>产品合计的糖度量吨+总损失的糖度量吨-甜菜的糖度量吨</t>
  </si>
  <si>
    <t>废蜜(原蜜)</t>
  </si>
  <si>
    <t>废蜜(原蜜)本期排出/甜菜重量吨*100</t>
  </si>
  <si>
    <t>取废蜜本期在制值</t>
  </si>
  <si>
    <t>项       目</t>
  </si>
  <si>
    <t>备注：</t>
  </si>
  <si>
    <t>商品糖度量%甜菜</t>
  </si>
  <si>
    <t>产品合计的对甜菜%
（H13）</t>
  </si>
  <si>
    <t>商品糖重量%甜菜</t>
  </si>
  <si>
    <t>产品合计的重量%甜菜</t>
  </si>
  <si>
    <t>糖份总回收率</t>
  </si>
  <si>
    <t>产品合计糖度量吨/甜菜糖度量吨*100</t>
  </si>
  <si>
    <t>废 蜜 纯 度(%)</t>
  </si>
  <si>
    <t>日均加工量(吨/日)</t>
  </si>
  <si>
    <t>甜菜的重量吨/渗出天数(日)</t>
  </si>
  <si>
    <t>渗出天数(日)</t>
  </si>
  <si>
    <t>优级品率(%)</t>
  </si>
  <si>
    <t>产品成品糖优砂级的重量吨/产品成品糖的白糖总量*100</t>
  </si>
  <si>
    <t>有效作业时间(时:分)</t>
  </si>
  <si>
    <t xml:space="preserve">审核:                                  制表: </t>
  </si>
  <si>
    <t>新宁糖业公司</t>
  </si>
  <si>
    <t>废粕含糖</t>
  </si>
  <si>
    <t>滤泥含糖</t>
  </si>
  <si>
    <t>·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</si>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</sst>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8" formatCode="0.00_ "/>
    <numFmt numFmtId="179" formatCode="0.000_);[Red]\(0.000\)"/>
    <numFmt numFmtId="180" formatCode="0.000_ "/>
    <numFmt numFmtId="181" formatCode="0.00_);[Red]\(0.00\)"/>
  </numFmts>
  <fonts count="12" x14ac:knownFonts="1">
    <font>
      <sz val="11"/>
      <color theme="1"/>
      <name val="宋体"/>
      <charset val="134"/>
      <scheme val="minor"/>
    </font>
    <font>
      <b/>
      <sz val="18"/>
      <name val="宋体"/>
      <charset val="134"/>
    </font>
    <font>
      <b/>
      <sz val="10"/>
      <name val="宋体"/>
      <charset val="134"/>
    </font>
    <font>
      <b/>
      <sz val="9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sz val="12"/>
      <color rgb="FFFF0000"/>
      <name val="宋体"/>
      <charset val="134"/>
    </font>
    <font>
      <sz val="12"/>
      <color theme="1"/>
      <name val="宋体"/>
      <charset val="134"/>
    </font>
    <font>
      <sz val="12"/>
      <color theme="1"/>
      <name val="宋体"/>
      <charset val="134"/>
      <scheme val="minor"/>
    </font>
    <font>
      <sz val="9"/>
      <name val="宋体"/>
      <charset val="134"/>
    </font>
    <font>
      <sz val="9"/>
      <name val="宋体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9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2" fillId="0" borderId="0" xfId="1" applyFont="1" applyAlignment="1">
      <alignment horizontal="center" vertical="center"/>
    </xf>
    <xf numFmtId="0" fontId="6" fillId="0" borderId="2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center" vertical="center" wrapText="1"/>
    </xf>
    <xf numFmtId="178" fontId="4" fillId="2" borderId="2" xfId="1" applyNumberFormat="1" applyFont="1" applyFill="1" applyBorder="1" applyAlignment="1">
      <alignment horizontal="center" vertical="center" wrapText="1"/>
    </xf>
    <xf numFmtId="179" fontId="4" fillId="0" borderId="2" xfId="1" applyNumberFormat="1" applyFont="1" applyFill="1" applyBorder="1" applyAlignment="1">
      <alignment horizontal="center" vertical="center" wrapText="1"/>
    </xf>
    <xf numFmtId="0" fontId="4" fillId="0" borderId="2" xfId="1" applyBorder="1" applyAlignment="1">
      <alignment horizontal="left" wrapText="1"/>
    </xf>
    <xf numFmtId="180" fontId="4" fillId="0" borderId="2" xfId="1" applyNumberFormat="1" applyFont="1" applyFill="1" applyBorder="1" applyAlignment="1">
      <alignment horizontal="center" vertical="center" wrapText="1"/>
    </xf>
    <xf numFmtId="0" fontId="4" fillId="0" borderId="2" xfId="1" applyBorder="1" applyAlignment="1">
      <alignment horizontal="center" vertical="center" wrapText="1"/>
    </xf>
    <xf numFmtId="0" fontId="4" fillId="0" borderId="2" xfId="1" applyFont="1" applyBorder="1" applyAlignment="1">
      <alignment horizontal="justify" vertical="center" wrapText="1"/>
    </xf>
    <xf numFmtId="178" fontId="7" fillId="0" borderId="2" xfId="1" applyNumberFormat="1" applyFont="1" applyFill="1" applyBorder="1" applyAlignment="1">
      <alignment horizontal="center" vertical="center" wrapText="1"/>
    </xf>
    <xf numFmtId="178" fontId="4" fillId="0" borderId="2" xfId="1" applyNumberFormat="1" applyFont="1" applyFill="1" applyBorder="1" applyAlignment="1">
      <alignment horizontal="center" vertical="center" wrapText="1"/>
    </xf>
    <xf numFmtId="181" fontId="4" fillId="2" borderId="2" xfId="1" applyNumberFormat="1" applyFont="1" applyFill="1" applyBorder="1" applyAlignment="1">
      <alignment horizontal="center" vertical="center" wrapText="1"/>
    </xf>
    <xf numFmtId="179" fontId="8" fillId="0" borderId="2" xfId="1" applyNumberFormat="1" applyFont="1" applyFill="1" applyBorder="1" applyAlignment="1">
      <alignment horizontal="center" vertical="center" wrapText="1"/>
    </xf>
    <xf numFmtId="179" fontId="7" fillId="0" borderId="2" xfId="1" applyNumberFormat="1" applyFont="1" applyFill="1" applyBorder="1" applyAlignment="1">
      <alignment horizontal="center" vertical="center" wrapText="1"/>
    </xf>
    <xf numFmtId="179" fontId="4" fillId="2" borderId="2" xfId="1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180" fontId="0" fillId="2" borderId="0" xfId="0" applyNumberFormat="1" applyFill="1" applyAlignment="1">
      <alignment horizontal="center" vertical="center"/>
    </xf>
    <xf numFmtId="0" fontId="4" fillId="3" borderId="2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49" fontId="4" fillId="0" borderId="2" xfId="1" applyNumberFormat="1" applyFont="1" applyFill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2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center" vertical="center" wrapText="1"/>
    </xf>
    <xf numFmtId="178" fontId="4" fillId="5" borderId="2" xfId="1" applyNumberFormat="1" applyFont="1" applyFill="1" applyBorder="1" applyAlignment="1">
      <alignment horizontal="center" vertical="center" wrapText="1"/>
    </xf>
    <xf numFmtId="178" fontId="4" fillId="0" borderId="2" xfId="1" applyNumberFormat="1" applyFont="1" applyFill="1" applyBorder="1" applyAlignment="1">
      <alignment horizontal="center" vertical="center" wrapText="1"/>
    </xf>
    <xf numFmtId="0" fontId="4" fillId="4" borderId="2" xfId="1" applyFill="1" applyBorder="1" applyAlignment="1">
      <alignment horizontal="left" wrapText="1"/>
    </xf>
    <xf numFmtId="0" fontId="4" fillId="4" borderId="2" xfId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justify" vertical="center" wrapText="1"/>
    </xf>
    <xf numFmtId="181" fontId="4" fillId="5" borderId="2" xfId="1" applyNumberFormat="1" applyFont="1" applyFill="1" applyBorder="1" applyAlignment="1">
      <alignment horizontal="center" vertical="center" wrapText="1"/>
    </xf>
    <xf numFmtId="179" fontId="4" fillId="0" borderId="2" xfId="1" applyNumberFormat="1" applyFont="1" applyFill="1" applyBorder="1" applyAlignment="1">
      <alignment horizontal="center" vertical="center" wrapText="1"/>
    </xf>
    <xf numFmtId="179" fontId="4" fillId="5" borderId="2" xfId="1" applyNumberFormat="1" applyFont="1" applyFill="1" applyBorder="1" applyAlignment="1">
      <alignment horizontal="center" vertical="center" wrapText="1"/>
    </xf>
    <xf numFmtId="0" fontId="4" fillId="4" borderId="5" xfId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3" fillId="0" borderId="2" xfId="1" applyFont="1" applyBorder="1" applyAlignment="1">
      <alignment horizontal="left" vertical="center"/>
    </xf>
    <xf numFmtId="0" fontId="4" fillId="0" borderId="2" xfId="1" applyFont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6" xfId="1" applyFont="1" applyFill="1" applyBorder="1" applyAlignment="1">
      <alignment horizontal="center" vertical="center" wrapText="1"/>
    </xf>
    <xf numFmtId="0" fontId="4" fillId="4" borderId="7" xfId="1" applyFont="1" applyFill="1" applyBorder="1" applyAlignment="1">
      <alignment horizontal="center" vertical="center" wrapText="1"/>
    </xf>
    <xf numFmtId="0" fontId="4" fillId="0" borderId="6" xfId="1" applyFont="1" applyFill="1" applyBorder="1" applyAlignment="1">
      <alignment horizontal="center" vertical="center" wrapText="1"/>
    </xf>
    <xf numFmtId="0" fontId="4" fillId="0" borderId="8" xfId="1" applyFont="1" applyFill="1" applyBorder="1" applyAlignment="1">
      <alignment horizontal="center" vertical="center" wrapText="1"/>
    </xf>
    <xf numFmtId="0" fontId="4" fillId="0" borderId="7" xfId="1" applyFont="1" applyFill="1" applyBorder="1" applyAlignment="1">
      <alignment horizontal="center" vertical="center" wrapText="1"/>
    </xf>
    <xf numFmtId="178" fontId="4" fillId="0" borderId="6" xfId="1" applyNumberFormat="1" applyFont="1" applyFill="1" applyBorder="1" applyAlignment="1">
      <alignment horizontal="center" vertical="center" wrapText="1"/>
    </xf>
    <xf numFmtId="178" fontId="4" fillId="0" borderId="8" xfId="1" applyNumberFormat="1" applyFont="1" applyFill="1" applyBorder="1" applyAlignment="1">
      <alignment horizontal="center" vertical="center" wrapText="1"/>
    </xf>
    <xf numFmtId="178" fontId="4" fillId="0" borderId="7" xfId="1" applyNumberFormat="1" applyFont="1" applyFill="1" applyBorder="1" applyAlignment="1">
      <alignment horizontal="center" vertical="center" wrapText="1"/>
    </xf>
    <xf numFmtId="0" fontId="4" fillId="4" borderId="8" xfId="1" applyFont="1" applyFill="1" applyBorder="1" applyAlignment="1">
      <alignment horizontal="center" vertical="center" wrapText="1"/>
    </xf>
    <xf numFmtId="0" fontId="4" fillId="0" borderId="10" xfId="1" applyFont="1" applyBorder="1" applyAlignment="1">
      <alignment vertical="center" wrapText="1"/>
    </xf>
    <xf numFmtId="0" fontId="4" fillId="6" borderId="2" xfId="1" applyFont="1" applyFill="1" applyBorder="1" applyAlignment="1">
      <alignment horizontal="center" vertical="center" wrapText="1"/>
    </xf>
    <xf numFmtId="0" fontId="4" fillId="6" borderId="3" xfId="1" applyFont="1" applyFill="1" applyBorder="1" applyAlignment="1">
      <alignment horizontal="center" vertical="center" wrapText="1"/>
    </xf>
    <xf numFmtId="0" fontId="4" fillId="6" borderId="4" xfId="1" applyFont="1" applyFill="1" applyBorder="1" applyAlignment="1">
      <alignment horizontal="center" vertical="center" wrapText="1"/>
    </xf>
    <xf numFmtId="0" fontId="4" fillId="6" borderId="5" xfId="1" applyFont="1" applyFill="1" applyBorder="1" applyAlignment="1">
      <alignment horizontal="center" vertical="center" wrapText="1"/>
    </xf>
    <xf numFmtId="0" fontId="4" fillId="4" borderId="4" xfId="1" applyFont="1" applyFill="1" applyBorder="1" applyAlignment="1">
      <alignment horizontal="center" vertical="center" wrapText="1"/>
    </xf>
    <xf numFmtId="0" fontId="4" fillId="4" borderId="5" xfId="1" applyFont="1" applyFill="1" applyBorder="1" applyAlignment="1">
      <alignment horizontal="center" vertical="center" wrapText="1"/>
    </xf>
    <xf numFmtId="0" fontId="4" fillId="4" borderId="3" xfId="1" applyFont="1" applyFill="1" applyBorder="1" applyAlignment="1">
      <alignment horizontal="center" vertical="center" wrapText="1"/>
    </xf>
    <xf numFmtId="179" fontId="4" fillId="0" borderId="9" xfId="1" applyNumberFormat="1" applyFont="1" applyFill="1" applyBorder="1" applyAlignment="1">
      <alignment horizontal="left" vertical="top" wrapText="1"/>
    </xf>
    <xf numFmtId="179" fontId="4" fillId="0" borderId="10" xfId="1" applyNumberFormat="1" applyFont="1" applyFill="1" applyBorder="1" applyAlignment="1">
      <alignment horizontal="left" vertical="top" wrapText="1"/>
    </xf>
    <xf numFmtId="179" fontId="4" fillId="0" borderId="11" xfId="1" applyNumberFormat="1" applyFont="1" applyFill="1" applyBorder="1" applyAlignment="1">
      <alignment horizontal="left" vertical="top" wrapText="1"/>
    </xf>
    <xf numFmtId="179" fontId="4" fillId="0" borderId="12" xfId="1" applyNumberFormat="1" applyFont="1" applyFill="1" applyBorder="1" applyAlignment="1">
      <alignment horizontal="left" vertical="top" wrapText="1"/>
    </xf>
    <xf numFmtId="179" fontId="4" fillId="0" borderId="0" xfId="1" applyNumberFormat="1" applyFont="1" applyFill="1" applyBorder="1" applyAlignment="1">
      <alignment horizontal="left" vertical="top" wrapText="1"/>
    </xf>
    <xf numFmtId="179" fontId="4" fillId="0" borderId="13" xfId="1" applyNumberFormat="1" applyFont="1" applyFill="1" applyBorder="1" applyAlignment="1">
      <alignment horizontal="left" vertical="top" wrapText="1"/>
    </xf>
    <xf numFmtId="179" fontId="4" fillId="0" borderId="14" xfId="1" applyNumberFormat="1" applyFont="1" applyFill="1" applyBorder="1" applyAlignment="1">
      <alignment horizontal="left" vertical="top" wrapText="1"/>
    </xf>
    <xf numFmtId="179" fontId="4" fillId="0" borderId="1" xfId="1" applyNumberFormat="1" applyFont="1" applyFill="1" applyBorder="1" applyAlignment="1">
      <alignment horizontal="left" vertical="top" wrapText="1"/>
    </xf>
    <xf numFmtId="179" fontId="4" fillId="0" borderId="15" xfId="1" applyNumberFormat="1" applyFont="1" applyFill="1" applyBorder="1" applyAlignment="1">
      <alignment horizontal="left" vertical="top" wrapText="1"/>
    </xf>
    <xf numFmtId="0" fontId="3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0" fontId="5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3" borderId="6" xfId="1" applyFont="1" applyFill="1" applyBorder="1" applyAlignment="1">
      <alignment horizontal="center" vertical="center" wrapText="1"/>
    </xf>
    <xf numFmtId="0" fontId="4" fillId="3" borderId="7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4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</cellXfs>
  <cellStyles count="2">
    <cellStyle name="常规" xfId="0" builtinId="0"/>
    <cellStyle name="常规_Sheet1" xfId="1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65405</xdr:rowOff>
    </xdr:from>
    <xdr:to>
      <xdr:col>2</xdr:col>
      <xdr:colOff>335915</xdr:colOff>
      <xdr:row>0</xdr:row>
      <xdr:rowOff>421005</xdr:rowOff>
    </xdr:to>
    <xdr:sp macro="" textlink="">
      <xdr:nvSpPr>
        <xdr:cNvPr id="2" name="圆角矩形 1"/>
        <xdr:cNvSpPr/>
      </xdr:nvSpPr>
      <xdr:spPr>
        <a:xfrm>
          <a:off x="127000" y="65405"/>
          <a:ext cx="1512570" cy="35560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 b="1">
              <a:solidFill>
                <a:sysClr val="windowText" lastClr="000000"/>
              </a:solidFill>
            </a:rPr>
            <a:t>2025-11-10</a:t>
          </a:r>
        </a:p>
      </xdr:txBody>
    </xdr:sp>
    <xdr:clientData/>
  </xdr:twoCellAnchor>
  <xdr:twoCellAnchor editAs="oneCell">
    <xdr:from>
      <xdr:col>1</xdr:col>
      <xdr:colOff>601980</xdr:colOff>
      <xdr:row>0</xdr:row>
      <xdr:rowOff>76200</xdr:rowOff>
    </xdr:from>
    <xdr:to>
      <xdr:col>2</xdr:col>
      <xdr:colOff>192405</xdr:colOff>
      <xdr:row>0</xdr:row>
      <xdr:rowOff>375920</xdr:rowOff>
    </xdr:to>
    <xdr:pic>
      <xdr:nvPicPr>
        <xdr:cNvPr id="3" name="图片 2" descr="日期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1196340" y="76200"/>
          <a:ext cx="299720" cy="299720"/>
        </a:xfrm>
        <a:prstGeom prst="rect">
          <a:avLst/>
        </a:prstGeom>
      </xdr:spPr>
    </xdr:pic>
    <xdr:clientData/>
  </xdr:twoCellAnchor>
  <xdr:twoCellAnchor>
    <xdr:from>
      <xdr:col>6</xdr:col>
      <xdr:colOff>1417320</xdr:colOff>
      <xdr:row>0</xdr:row>
      <xdr:rowOff>66675</xdr:rowOff>
    </xdr:from>
    <xdr:to>
      <xdr:col>7</xdr:col>
      <xdr:colOff>158750</xdr:colOff>
      <xdr:row>0</xdr:row>
      <xdr:rowOff>405130</xdr:rowOff>
    </xdr:to>
    <xdr:sp macro="" textlink="">
      <xdr:nvSpPr>
        <xdr:cNvPr id="4" name="圆角矩形 3"/>
        <xdr:cNvSpPr/>
      </xdr:nvSpPr>
      <xdr:spPr>
        <a:xfrm>
          <a:off x="7926705" y="66675"/>
          <a:ext cx="751205" cy="33845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 b="1">
              <a:solidFill>
                <a:sysClr val="windowText" lastClr="000000"/>
              </a:solidFill>
            </a:rPr>
            <a:t>提交</a:t>
          </a:r>
        </a:p>
      </xdr:txBody>
    </xdr:sp>
    <xdr:clientData/>
  </xdr:twoCellAnchor>
  <xdr:twoCellAnchor>
    <xdr:from>
      <xdr:col>7</xdr:col>
      <xdr:colOff>280670</xdr:colOff>
      <xdr:row>0</xdr:row>
      <xdr:rowOff>74930</xdr:rowOff>
    </xdr:from>
    <xdr:to>
      <xdr:col>7</xdr:col>
      <xdr:colOff>1256030</xdr:colOff>
      <xdr:row>0</xdr:row>
      <xdr:rowOff>413385</xdr:rowOff>
    </xdr:to>
    <xdr:sp macro="" textlink="">
      <xdr:nvSpPr>
        <xdr:cNvPr id="6" name="圆角矩形 5"/>
        <xdr:cNvSpPr/>
      </xdr:nvSpPr>
      <xdr:spPr>
        <a:xfrm>
          <a:off x="8799830" y="74930"/>
          <a:ext cx="975360" cy="33845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 b="1">
              <a:solidFill>
                <a:sysClr val="windowText" lastClr="000000"/>
              </a:solidFill>
            </a:rPr>
            <a:t>审核确认</a:t>
          </a:r>
        </a:p>
      </xdr:txBody>
    </xdr:sp>
    <xdr:clientData/>
  </xdr:twoCellAnchor>
  <xdr:twoCellAnchor>
    <xdr:from>
      <xdr:col>6</xdr:col>
      <xdr:colOff>505460</xdr:colOff>
      <xdr:row>0</xdr:row>
      <xdr:rowOff>63500</xdr:rowOff>
    </xdr:from>
    <xdr:to>
      <xdr:col>6</xdr:col>
      <xdr:colOff>1323975</xdr:colOff>
      <xdr:row>0</xdr:row>
      <xdr:rowOff>401955</xdr:rowOff>
    </xdr:to>
    <xdr:sp macro="" textlink="">
      <xdr:nvSpPr>
        <xdr:cNvPr id="7" name="圆角矩形 6"/>
        <xdr:cNvSpPr/>
      </xdr:nvSpPr>
      <xdr:spPr>
        <a:xfrm>
          <a:off x="7014845" y="63500"/>
          <a:ext cx="818515" cy="33845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 b="1">
              <a:solidFill>
                <a:sysClr val="windowText" lastClr="000000"/>
              </a:solidFill>
            </a:rPr>
            <a:t>编辑</a:t>
          </a:r>
        </a:p>
      </xdr:txBody>
    </xdr:sp>
    <xdr:clientData/>
  </xdr:twoCellAnchor>
  <xdr:twoCellAnchor>
    <xdr:from>
      <xdr:col>5</xdr:col>
      <xdr:colOff>870585</xdr:colOff>
      <xdr:row>0</xdr:row>
      <xdr:rowOff>69215</xdr:rowOff>
    </xdr:from>
    <xdr:to>
      <xdr:col>6</xdr:col>
      <xdr:colOff>361950</xdr:colOff>
      <xdr:row>0</xdr:row>
      <xdr:rowOff>407670</xdr:rowOff>
    </xdr:to>
    <xdr:sp macro="" textlink="">
      <xdr:nvSpPr>
        <xdr:cNvPr id="8" name="圆角矩形 7"/>
        <xdr:cNvSpPr/>
      </xdr:nvSpPr>
      <xdr:spPr>
        <a:xfrm>
          <a:off x="6099810" y="69215"/>
          <a:ext cx="771525" cy="33845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 b="1">
              <a:solidFill>
                <a:sysClr val="windowText" lastClr="000000"/>
              </a:solidFill>
            </a:rPr>
            <a:t>导出</a:t>
          </a:r>
        </a:p>
      </xdr:txBody>
    </xdr:sp>
    <xdr:clientData/>
  </xdr:twoCellAnchor>
  <xdr:twoCellAnchor>
    <xdr:from>
      <xdr:col>2</xdr:col>
      <xdr:colOff>393065</xdr:colOff>
      <xdr:row>0</xdr:row>
      <xdr:rowOff>64135</xdr:rowOff>
    </xdr:from>
    <xdr:to>
      <xdr:col>3</xdr:col>
      <xdr:colOff>720725</xdr:colOff>
      <xdr:row>0</xdr:row>
      <xdr:rowOff>419100</xdr:rowOff>
    </xdr:to>
    <xdr:grpSp>
      <xdr:nvGrpSpPr>
        <xdr:cNvPr id="9" name="组合 8"/>
        <xdr:cNvGrpSpPr/>
      </xdr:nvGrpSpPr>
      <xdr:grpSpPr>
        <a:xfrm>
          <a:off x="1905159" y="64135"/>
          <a:ext cx="1673066" cy="354965"/>
          <a:chOff x="-11420" y="185"/>
          <a:chExt cx="2376" cy="560"/>
        </a:xfrm>
      </xdr:grpSpPr>
      <xdr:sp macro="" textlink="">
        <xdr:nvSpPr>
          <xdr:cNvPr id="10" name="圆角矩形 9"/>
          <xdr:cNvSpPr/>
        </xdr:nvSpPr>
        <xdr:spPr>
          <a:xfrm>
            <a:off x="-11420" y="185"/>
            <a:ext cx="2376" cy="560"/>
          </a:xfrm>
          <a:prstGeom prst="roundRect">
            <a:avLst/>
          </a:prstGeom>
          <a:solidFill>
            <a:schemeClr val="accent1">
              <a:lumMod val="20000"/>
              <a:lumOff val="80000"/>
            </a:schemeClr>
          </a:solidFill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zh-CN" sz="1200" b="1">
                <a:solidFill>
                  <a:sysClr val="windowText" lastClr="000000"/>
                </a:solidFill>
              </a:rPr>
              <a:t>新宁糖业</a:t>
            </a:r>
          </a:p>
        </xdr:txBody>
      </xdr:sp>
      <xdr:sp macro="" textlink="">
        <xdr:nvSpPr>
          <xdr:cNvPr id="11" name="等腰三角形 10"/>
          <xdr:cNvSpPr/>
        </xdr:nvSpPr>
        <xdr:spPr>
          <a:xfrm rot="10800000" flipH="1">
            <a:off x="-9597" y="308"/>
            <a:ext cx="416" cy="303"/>
          </a:xfrm>
          <a:prstGeom prst="triangle">
            <a:avLst/>
          </a:prstGeom>
          <a:solidFill>
            <a:schemeClr val="bg2">
              <a:lumMod val="75000"/>
            </a:schemeClr>
          </a:solidFill>
          <a:ln>
            <a:solidFill>
              <a:schemeClr val="bg2">
                <a:lumMod val="75000"/>
              </a:schemeClr>
            </a:solidFill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40"/>
  <sheetViews>
    <sheetView tabSelected="1" zoomScale="80" zoomScaleNormal="80" workbookViewId="0">
      <pane ySplit="4" topLeftCell="A5" activePane="bottomLeft" state="frozen"/>
      <selection pane="bottomLeft" activeCell="M14" sqref="M14"/>
    </sheetView>
  </sheetViews>
  <sheetFormatPr defaultColWidth="9" defaultRowHeight="13.5" x14ac:dyDescent="0.15"/>
  <cols>
    <col min="1" max="1" width="9" style="1"/>
    <col min="2" max="2" width="10.75" style="1" customWidth="1"/>
    <col min="3" max="3" width="17.625" style="1" customWidth="1"/>
    <col min="4" max="4" width="21.25" style="1" customWidth="1"/>
    <col min="5" max="5" width="20.5" style="1" customWidth="1"/>
    <col min="6" max="6" width="19.375" style="1" customWidth="1"/>
    <col min="7" max="7" width="30.375" style="1" customWidth="1"/>
    <col min="8" max="8" width="22" style="1" customWidth="1"/>
    <col min="9" max="16384" width="9" style="1"/>
  </cols>
  <sheetData>
    <row r="1" spans="1:9" ht="36.950000000000003" customHeight="1" x14ac:dyDescent="0.15">
      <c r="A1" s="41"/>
      <c r="B1" s="41"/>
      <c r="C1" s="41"/>
      <c r="D1" s="41"/>
      <c r="E1" s="41"/>
      <c r="F1" s="41"/>
      <c r="G1" s="41"/>
      <c r="H1" s="41"/>
    </row>
    <row r="2" spans="1:9" ht="22.5" x14ac:dyDescent="0.15">
      <c r="A2" s="42" t="s">
        <v>0</v>
      </c>
      <c r="B2" s="43"/>
      <c r="C2" s="43"/>
      <c r="D2" s="43"/>
      <c r="E2" s="43"/>
      <c r="F2" s="43"/>
      <c r="G2" s="43"/>
      <c r="H2" s="43"/>
      <c r="I2" s="2"/>
    </row>
    <row r="3" spans="1:9" ht="14.25" x14ac:dyDescent="0.15">
      <c r="A3" s="27" t="s">
        <v>1</v>
      </c>
      <c r="B3" s="44" t="s">
        <v>2</v>
      </c>
      <c r="C3" s="44"/>
      <c r="D3" s="45" t="s">
        <v>3</v>
      </c>
      <c r="E3" s="45"/>
      <c r="F3" s="46"/>
      <c r="G3" s="46"/>
      <c r="H3" s="46"/>
      <c r="I3" s="2"/>
    </row>
    <row r="4" spans="1:9" ht="14.25" x14ac:dyDescent="0.15">
      <c r="A4" s="47" t="s">
        <v>4</v>
      </c>
      <c r="B4" s="47"/>
      <c r="C4" s="47"/>
      <c r="D4" s="28" t="s">
        <v>5</v>
      </c>
      <c r="E4" s="29" t="s">
        <v>6</v>
      </c>
      <c r="F4" s="28" t="s">
        <v>7</v>
      </c>
      <c r="G4" s="28" t="s">
        <v>8</v>
      </c>
      <c r="H4" s="28" t="s">
        <v>9</v>
      </c>
      <c r="I4" s="2"/>
    </row>
    <row r="5" spans="1:9" ht="28.5" x14ac:dyDescent="0.15">
      <c r="A5" s="48" t="s">
        <v>10</v>
      </c>
      <c r="B5" s="48"/>
      <c r="C5" s="48"/>
      <c r="D5" s="31" t="s">
        <v>11</v>
      </c>
      <c r="E5" s="32" t="s">
        <v>12</v>
      </c>
      <c r="F5" s="33" t="s">
        <v>13</v>
      </c>
      <c r="G5" s="10" t="s">
        <v>14</v>
      </c>
      <c r="H5" s="10" t="s">
        <v>15</v>
      </c>
      <c r="I5" s="2"/>
    </row>
    <row r="6" spans="1:9" ht="28.5" x14ac:dyDescent="0.15">
      <c r="A6" s="59" t="s">
        <v>16</v>
      </c>
      <c r="B6" s="65" t="s">
        <v>17</v>
      </c>
      <c r="C6" s="34" t="s">
        <v>18</v>
      </c>
      <c r="D6" s="31" t="s">
        <v>19</v>
      </c>
      <c r="E6" s="32" t="s">
        <v>12</v>
      </c>
      <c r="F6" s="32" t="s">
        <v>12</v>
      </c>
      <c r="G6" s="12" t="s">
        <v>20</v>
      </c>
      <c r="H6" s="32" t="s">
        <v>12</v>
      </c>
      <c r="I6" s="2"/>
    </row>
    <row r="7" spans="1:9" ht="28.5" x14ac:dyDescent="0.15">
      <c r="A7" s="59"/>
      <c r="B7" s="63"/>
      <c r="C7" s="34" t="s">
        <v>21</v>
      </c>
      <c r="D7" s="31" t="s">
        <v>22</v>
      </c>
      <c r="E7" s="32" t="s">
        <v>12</v>
      </c>
      <c r="F7" s="32" t="s">
        <v>12</v>
      </c>
      <c r="G7" s="12" t="s">
        <v>23</v>
      </c>
      <c r="H7" s="32" t="s">
        <v>12</v>
      </c>
      <c r="I7" s="2"/>
    </row>
    <row r="8" spans="1:9" ht="28.5" x14ac:dyDescent="0.15">
      <c r="A8" s="59"/>
      <c r="B8" s="63"/>
      <c r="C8" s="35" t="s">
        <v>24</v>
      </c>
      <c r="D8" s="31" t="s">
        <v>25</v>
      </c>
      <c r="E8" s="32" t="s">
        <v>12</v>
      </c>
      <c r="F8" s="32" t="s">
        <v>12</v>
      </c>
      <c r="G8" s="12" t="s">
        <v>26</v>
      </c>
      <c r="H8" s="32" t="s">
        <v>12</v>
      </c>
      <c r="I8" s="2"/>
    </row>
    <row r="9" spans="1:9" ht="28.5" x14ac:dyDescent="0.15">
      <c r="A9" s="59"/>
      <c r="B9" s="63"/>
      <c r="C9" s="35" t="s">
        <v>27</v>
      </c>
      <c r="D9" s="31" t="s">
        <v>28</v>
      </c>
      <c r="E9" s="32" t="s">
        <v>12</v>
      </c>
      <c r="F9" s="32" t="s">
        <v>12</v>
      </c>
      <c r="G9" s="12" t="s">
        <v>29</v>
      </c>
      <c r="H9" s="32" t="s">
        <v>12</v>
      </c>
      <c r="I9" s="2"/>
    </row>
    <row r="10" spans="1:9" ht="28.5" x14ac:dyDescent="0.15">
      <c r="A10" s="59"/>
      <c r="B10" s="63"/>
      <c r="C10" s="35" t="s">
        <v>30</v>
      </c>
      <c r="D10" s="31" t="s">
        <v>31</v>
      </c>
      <c r="E10" s="32" t="s">
        <v>12</v>
      </c>
      <c r="F10" s="32" t="s">
        <v>12</v>
      </c>
      <c r="G10" s="12" t="s">
        <v>32</v>
      </c>
      <c r="H10" s="32" t="s">
        <v>12</v>
      </c>
      <c r="I10" s="2"/>
    </row>
    <row r="11" spans="1:9" ht="14.25" x14ac:dyDescent="0.15">
      <c r="A11" s="59"/>
      <c r="B11" s="48" t="s">
        <v>33</v>
      </c>
      <c r="C11" s="36" t="s">
        <v>34</v>
      </c>
      <c r="D11" s="32" t="s">
        <v>12</v>
      </c>
      <c r="E11" s="32" t="s">
        <v>12</v>
      </c>
      <c r="F11" s="32" t="s">
        <v>12</v>
      </c>
      <c r="G11" s="12" t="s">
        <v>35</v>
      </c>
      <c r="H11" s="32" t="s">
        <v>12</v>
      </c>
      <c r="I11" s="2"/>
    </row>
    <row r="12" spans="1:9" ht="14.25" x14ac:dyDescent="0.15">
      <c r="A12" s="59"/>
      <c r="B12" s="48"/>
      <c r="C12" s="36" t="s">
        <v>36</v>
      </c>
      <c r="D12" s="32" t="s">
        <v>12</v>
      </c>
      <c r="E12" s="32" t="s">
        <v>12</v>
      </c>
      <c r="F12" s="32" t="s">
        <v>12</v>
      </c>
      <c r="G12" s="12" t="s">
        <v>37</v>
      </c>
      <c r="H12" s="32" t="s">
        <v>12</v>
      </c>
      <c r="I12" s="2"/>
    </row>
    <row r="13" spans="1:9" ht="28.5" x14ac:dyDescent="0.15">
      <c r="A13" s="59"/>
      <c r="B13" s="48" t="s">
        <v>38</v>
      </c>
      <c r="C13" s="48"/>
      <c r="D13" s="16" t="s">
        <v>39</v>
      </c>
      <c r="E13" s="12" t="s">
        <v>40</v>
      </c>
      <c r="F13" s="32" t="s">
        <v>12</v>
      </c>
      <c r="G13" s="10" t="s">
        <v>41</v>
      </c>
      <c r="H13" s="10" t="s">
        <v>42</v>
      </c>
      <c r="I13" s="2"/>
    </row>
    <row r="14" spans="1:9" ht="28.5" x14ac:dyDescent="0.15">
      <c r="A14" s="59" t="s">
        <v>43</v>
      </c>
      <c r="B14" s="48" t="s">
        <v>44</v>
      </c>
      <c r="C14" s="30" t="s">
        <v>45</v>
      </c>
      <c r="D14" s="33" t="s">
        <v>46</v>
      </c>
      <c r="E14" s="32" t="s">
        <v>12</v>
      </c>
      <c r="F14" s="32" t="s">
        <v>12</v>
      </c>
      <c r="G14" s="32" t="s">
        <v>12</v>
      </c>
      <c r="H14" s="32" t="s">
        <v>12</v>
      </c>
      <c r="I14" s="2"/>
    </row>
    <row r="15" spans="1:9" ht="14.25" x14ac:dyDescent="0.15">
      <c r="A15" s="59"/>
      <c r="B15" s="48"/>
      <c r="C15" s="30" t="s">
        <v>47</v>
      </c>
      <c r="D15" s="32" t="s">
        <v>12</v>
      </c>
      <c r="E15" s="32" t="s">
        <v>12</v>
      </c>
      <c r="F15" s="32" t="s">
        <v>12</v>
      </c>
      <c r="G15" s="32" t="s">
        <v>12</v>
      </c>
      <c r="H15" s="32" t="s">
        <v>12</v>
      </c>
      <c r="I15" s="2"/>
    </row>
    <row r="16" spans="1:9" ht="14.25" x14ac:dyDescent="0.15">
      <c r="A16" s="59"/>
      <c r="B16" s="48" t="s">
        <v>48</v>
      </c>
      <c r="C16" s="48"/>
      <c r="D16" s="32" t="s">
        <v>12</v>
      </c>
      <c r="E16" s="32" t="s">
        <v>12</v>
      </c>
      <c r="F16" s="32" t="s">
        <v>12</v>
      </c>
      <c r="G16" s="32" t="s">
        <v>12</v>
      </c>
      <c r="H16" s="32" t="s">
        <v>12</v>
      </c>
      <c r="I16" s="2"/>
    </row>
    <row r="17" spans="1:9" ht="28.5" x14ac:dyDescent="0.15">
      <c r="A17" s="59"/>
      <c r="B17" s="48" t="s">
        <v>38</v>
      </c>
      <c r="C17" s="48"/>
      <c r="D17" s="16" t="s">
        <v>49</v>
      </c>
      <c r="E17" s="32" t="s">
        <v>12</v>
      </c>
      <c r="F17" s="37" t="s">
        <v>12</v>
      </c>
      <c r="G17" s="10" t="s">
        <v>50</v>
      </c>
      <c r="H17" s="10" t="s">
        <v>51</v>
      </c>
      <c r="I17" s="2"/>
    </row>
    <row r="18" spans="1:9" ht="28.5" x14ac:dyDescent="0.15">
      <c r="A18" s="60" t="s">
        <v>52</v>
      </c>
      <c r="B18" s="48" t="s">
        <v>53</v>
      </c>
      <c r="C18" s="48"/>
      <c r="D18" s="32" t="s">
        <v>12</v>
      </c>
      <c r="E18" s="32" t="s">
        <v>12</v>
      </c>
      <c r="F18" s="37" t="s">
        <v>12</v>
      </c>
      <c r="G18" s="10" t="s">
        <v>54</v>
      </c>
      <c r="H18" s="38" t="s">
        <v>55</v>
      </c>
      <c r="I18" s="21"/>
    </row>
    <row r="19" spans="1:9" ht="28.5" x14ac:dyDescent="0.15">
      <c r="A19" s="61"/>
      <c r="B19" s="48" t="s">
        <v>56</v>
      </c>
      <c r="C19" s="48"/>
      <c r="D19" s="32" t="s">
        <v>12</v>
      </c>
      <c r="E19" s="32" t="s">
        <v>12</v>
      </c>
      <c r="F19" s="37" t="s">
        <v>12</v>
      </c>
      <c r="G19" s="10" t="s">
        <v>57</v>
      </c>
      <c r="H19" s="38" t="s">
        <v>58</v>
      </c>
      <c r="I19" s="21"/>
    </row>
    <row r="20" spans="1:9" ht="28.5" x14ac:dyDescent="0.15">
      <c r="A20" s="61"/>
      <c r="B20" s="48" t="s">
        <v>59</v>
      </c>
      <c r="C20" s="48"/>
      <c r="D20" s="32" t="s">
        <v>12</v>
      </c>
      <c r="E20" s="32" t="s">
        <v>12</v>
      </c>
      <c r="F20" s="37" t="s">
        <v>12</v>
      </c>
      <c r="G20" s="10" t="s">
        <v>60</v>
      </c>
      <c r="H20" s="38" t="s">
        <v>61</v>
      </c>
      <c r="I20" s="2"/>
    </row>
    <row r="21" spans="1:9" ht="14.25" x14ac:dyDescent="0.15">
      <c r="A21" s="61"/>
      <c r="B21" s="48" t="s">
        <v>62</v>
      </c>
      <c r="C21" s="48"/>
      <c r="D21" s="32" t="s">
        <v>12</v>
      </c>
      <c r="E21" s="32" t="s">
        <v>12</v>
      </c>
      <c r="F21" s="37" t="s">
        <v>12</v>
      </c>
      <c r="G21" s="10" t="s">
        <v>63</v>
      </c>
      <c r="H21" s="39" t="s">
        <v>12</v>
      </c>
      <c r="I21" s="2"/>
    </row>
    <row r="22" spans="1:9" ht="42.75" x14ac:dyDescent="0.15">
      <c r="A22" s="61"/>
      <c r="B22" s="48" t="s">
        <v>64</v>
      </c>
      <c r="C22" s="48"/>
      <c r="D22" s="32" t="s">
        <v>12</v>
      </c>
      <c r="E22" s="32" t="s">
        <v>12</v>
      </c>
      <c r="F22" s="37" t="s">
        <v>12</v>
      </c>
      <c r="G22" s="10" t="s">
        <v>65</v>
      </c>
      <c r="H22" s="10" t="s">
        <v>66</v>
      </c>
      <c r="I22" s="2"/>
    </row>
    <row r="23" spans="1:9" ht="14.25" x14ac:dyDescent="0.15">
      <c r="A23" s="61"/>
      <c r="B23" s="49" t="s">
        <v>67</v>
      </c>
      <c r="C23" s="50"/>
      <c r="D23" s="51" t="s">
        <v>68</v>
      </c>
      <c r="E23" s="52"/>
      <c r="F23" s="52"/>
      <c r="G23" s="52"/>
      <c r="H23" s="53"/>
      <c r="I23" s="2"/>
    </row>
    <row r="24" spans="1:9" ht="14.25" x14ac:dyDescent="0.15">
      <c r="A24" s="60" t="s">
        <v>69</v>
      </c>
      <c r="B24" s="49" t="s">
        <v>70</v>
      </c>
      <c r="C24" s="50"/>
      <c r="D24" s="51" t="s">
        <v>71</v>
      </c>
      <c r="E24" s="52"/>
      <c r="F24" s="52"/>
      <c r="G24" s="52"/>
      <c r="H24" s="53"/>
      <c r="I24" s="2"/>
    </row>
    <row r="25" spans="1:9" ht="14.25" x14ac:dyDescent="0.15">
      <c r="A25" s="61"/>
      <c r="B25" s="49" t="s">
        <v>72</v>
      </c>
      <c r="C25" s="50"/>
      <c r="D25" s="54" t="s">
        <v>73</v>
      </c>
      <c r="E25" s="55"/>
      <c r="F25" s="55"/>
      <c r="G25" s="55"/>
      <c r="H25" s="56"/>
      <c r="I25" s="2"/>
    </row>
    <row r="26" spans="1:9" ht="14.25" x14ac:dyDescent="0.15">
      <c r="A26" s="61"/>
      <c r="B26" s="49" t="s">
        <v>74</v>
      </c>
      <c r="C26" s="50"/>
      <c r="D26" s="54" t="s">
        <v>75</v>
      </c>
      <c r="E26" s="55"/>
      <c r="F26" s="55"/>
      <c r="G26" s="55"/>
      <c r="H26" s="56"/>
      <c r="I26" s="2"/>
    </row>
    <row r="27" spans="1:9" ht="14.25" x14ac:dyDescent="0.15">
      <c r="A27" s="62"/>
      <c r="B27" s="49" t="s">
        <v>76</v>
      </c>
      <c r="C27" s="50"/>
      <c r="D27" s="54" t="s">
        <v>77</v>
      </c>
      <c r="E27" s="55"/>
      <c r="F27" s="55"/>
      <c r="G27" s="55"/>
      <c r="H27" s="56"/>
      <c r="I27" s="2"/>
    </row>
    <row r="28" spans="1:9" ht="14.25" x14ac:dyDescent="0.15">
      <c r="A28" s="48" t="s">
        <v>78</v>
      </c>
      <c r="B28" s="48"/>
      <c r="C28" s="48"/>
      <c r="D28" s="54" t="s">
        <v>79</v>
      </c>
      <c r="E28" s="55"/>
      <c r="F28" s="55"/>
      <c r="G28" s="55"/>
      <c r="H28" s="56"/>
      <c r="I28" s="2"/>
    </row>
    <row r="29" spans="1:9" ht="28.5" x14ac:dyDescent="0.15">
      <c r="A29" s="63" t="s">
        <v>80</v>
      </c>
      <c r="B29" s="64" t="s">
        <v>44</v>
      </c>
      <c r="C29" s="40" t="s">
        <v>45</v>
      </c>
      <c r="D29" s="32" t="s">
        <v>12</v>
      </c>
      <c r="E29" s="10" t="s">
        <v>81</v>
      </c>
      <c r="F29" s="32" t="s">
        <v>12</v>
      </c>
      <c r="G29" s="32" t="s">
        <v>12</v>
      </c>
      <c r="H29" s="32" t="s">
        <v>12</v>
      </c>
      <c r="I29" s="2"/>
    </row>
    <row r="30" spans="1:9" ht="14.25" x14ac:dyDescent="0.15">
      <c r="A30" s="64"/>
      <c r="B30" s="48"/>
      <c r="C30" s="30" t="s">
        <v>47</v>
      </c>
      <c r="D30" s="16" t="s">
        <v>82</v>
      </c>
      <c r="E30" s="32" t="s">
        <v>12</v>
      </c>
      <c r="F30" s="32" t="s">
        <v>12</v>
      </c>
      <c r="G30" s="32" t="s">
        <v>12</v>
      </c>
      <c r="H30" s="32" t="s">
        <v>12</v>
      </c>
      <c r="I30" s="2"/>
    </row>
    <row r="31" spans="1:9" ht="14.25" x14ac:dyDescent="0.15">
      <c r="A31" s="48" t="s">
        <v>83</v>
      </c>
      <c r="B31" s="48"/>
      <c r="C31" s="48"/>
      <c r="D31" s="32" t="s">
        <v>12</v>
      </c>
      <c r="E31" s="66" t="s">
        <v>84</v>
      </c>
      <c r="F31" s="67"/>
      <c r="G31" s="67"/>
      <c r="H31" s="68"/>
      <c r="I31" s="2"/>
    </row>
    <row r="32" spans="1:9" ht="28.5" x14ac:dyDescent="0.15">
      <c r="A32" s="48" t="s">
        <v>85</v>
      </c>
      <c r="B32" s="48"/>
      <c r="C32" s="48"/>
      <c r="D32" s="10" t="s">
        <v>86</v>
      </c>
      <c r="E32" s="69"/>
      <c r="F32" s="70"/>
      <c r="G32" s="70"/>
      <c r="H32" s="71"/>
      <c r="I32" s="2"/>
    </row>
    <row r="33" spans="1:9" ht="14.25" x14ac:dyDescent="0.15">
      <c r="A33" s="48" t="s">
        <v>87</v>
      </c>
      <c r="B33" s="48"/>
      <c r="C33" s="48"/>
      <c r="D33" s="12" t="s">
        <v>88</v>
      </c>
      <c r="E33" s="69"/>
      <c r="F33" s="70"/>
      <c r="G33" s="70"/>
      <c r="H33" s="71"/>
      <c r="I33" s="2"/>
    </row>
    <row r="34" spans="1:9" ht="28.5" x14ac:dyDescent="0.15">
      <c r="A34" s="48" t="s">
        <v>89</v>
      </c>
      <c r="B34" s="48"/>
      <c r="C34" s="48"/>
      <c r="D34" s="12" t="s">
        <v>90</v>
      </c>
      <c r="E34" s="69"/>
      <c r="F34" s="70"/>
      <c r="G34" s="70"/>
      <c r="H34" s="71"/>
      <c r="I34" s="2"/>
    </row>
    <row r="35" spans="1:9" ht="14.25" x14ac:dyDescent="0.15">
      <c r="A35" s="48" t="s">
        <v>91</v>
      </c>
      <c r="B35" s="48"/>
      <c r="C35" s="48"/>
      <c r="D35" s="32" t="s">
        <v>12</v>
      </c>
      <c r="E35" s="69"/>
      <c r="F35" s="70"/>
      <c r="G35" s="70"/>
      <c r="H35" s="71"/>
      <c r="I35" s="2"/>
    </row>
    <row r="36" spans="1:9" ht="28.5" x14ac:dyDescent="0.15">
      <c r="A36" s="49" t="s">
        <v>92</v>
      </c>
      <c r="B36" s="57"/>
      <c r="C36" s="50"/>
      <c r="D36" s="10" t="s">
        <v>93</v>
      </c>
      <c r="E36" s="69"/>
      <c r="F36" s="70"/>
      <c r="G36" s="70"/>
      <c r="H36" s="71"/>
      <c r="I36" s="2"/>
    </row>
    <row r="37" spans="1:9" ht="14.25" x14ac:dyDescent="0.15">
      <c r="A37" s="49" t="s">
        <v>94</v>
      </c>
      <c r="B37" s="57"/>
      <c r="C37" s="50"/>
      <c r="D37" s="32" t="s">
        <v>12</v>
      </c>
      <c r="E37" s="69"/>
      <c r="F37" s="70"/>
      <c r="G37" s="70"/>
      <c r="H37" s="71"/>
      <c r="I37" s="2"/>
    </row>
    <row r="38" spans="1:9" ht="42.75" x14ac:dyDescent="0.15">
      <c r="A38" s="48" t="s">
        <v>95</v>
      </c>
      <c r="B38" s="48"/>
      <c r="C38" s="48"/>
      <c r="D38" s="16" t="s">
        <v>96</v>
      </c>
      <c r="E38" s="69"/>
      <c r="F38" s="70"/>
      <c r="G38" s="70"/>
      <c r="H38" s="71"/>
      <c r="I38" s="2"/>
    </row>
    <row r="39" spans="1:9" ht="14.25" x14ac:dyDescent="0.15">
      <c r="A39" s="48" t="s">
        <v>97</v>
      </c>
      <c r="B39" s="48"/>
      <c r="C39" s="48"/>
      <c r="D39" s="32" t="s">
        <v>12</v>
      </c>
      <c r="E39" s="72"/>
      <c r="F39" s="73"/>
      <c r="G39" s="73"/>
      <c r="H39" s="74"/>
      <c r="I39" s="2"/>
    </row>
    <row r="40" spans="1:9" ht="14.25" x14ac:dyDescent="0.15">
      <c r="A40" s="58" t="s">
        <v>98</v>
      </c>
      <c r="B40" s="58"/>
      <c r="C40" s="58"/>
      <c r="D40" s="58"/>
      <c r="E40" s="58"/>
      <c r="F40" s="58"/>
      <c r="G40" s="58"/>
      <c r="H40" s="58"/>
      <c r="I40" s="2"/>
    </row>
  </sheetData>
  <mergeCells count="46">
    <mergeCell ref="A29:A30"/>
    <mergeCell ref="B6:B10"/>
    <mergeCell ref="B11:B12"/>
    <mergeCell ref="B14:B15"/>
    <mergeCell ref="B29:B30"/>
    <mergeCell ref="A36:C36"/>
    <mergeCell ref="A37:C37"/>
    <mergeCell ref="A38:C38"/>
    <mergeCell ref="A39:C39"/>
    <mergeCell ref="A40:H40"/>
    <mergeCell ref="E31:H39"/>
    <mergeCell ref="A31:C31"/>
    <mergeCell ref="A32:C32"/>
    <mergeCell ref="A33:C33"/>
    <mergeCell ref="A34:C34"/>
    <mergeCell ref="A35:C35"/>
    <mergeCell ref="B26:C26"/>
    <mergeCell ref="D26:H26"/>
    <mergeCell ref="B27:C27"/>
    <mergeCell ref="D27:H27"/>
    <mergeCell ref="A28:C28"/>
    <mergeCell ref="D28:H28"/>
    <mergeCell ref="A24:A27"/>
    <mergeCell ref="D23:H23"/>
    <mergeCell ref="B24:C24"/>
    <mergeCell ref="D24:H24"/>
    <mergeCell ref="B25:C25"/>
    <mergeCell ref="D25:H25"/>
    <mergeCell ref="B19:C19"/>
    <mergeCell ref="B20:C20"/>
    <mergeCell ref="B21:C21"/>
    <mergeCell ref="B22:C22"/>
    <mergeCell ref="B23:C23"/>
    <mergeCell ref="A5:C5"/>
    <mergeCell ref="B13:C13"/>
    <mergeCell ref="B16:C16"/>
    <mergeCell ref="B17:C17"/>
    <mergeCell ref="B18:C18"/>
    <mergeCell ref="A6:A13"/>
    <mergeCell ref="A14:A17"/>
    <mergeCell ref="A18:A23"/>
    <mergeCell ref="A1:H1"/>
    <mergeCell ref="A2:H2"/>
    <mergeCell ref="B3:C3"/>
    <mergeCell ref="D3:H3"/>
    <mergeCell ref="A4:C4"/>
  </mergeCells>
  <phoneticPr fontId="11" type="noConversion"/>
  <pageMargins left="0.75" right="0.75" top="1" bottom="1" header="0.5" footer="0.5"/>
  <pageSetup paperSize="9"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40"/>
  <sheetViews>
    <sheetView workbookViewId="0">
      <selection activeCell="H4" sqref="H4"/>
    </sheetView>
  </sheetViews>
  <sheetFormatPr defaultColWidth="9" defaultRowHeight="13.5" x14ac:dyDescent="0.15"/>
  <cols>
    <col min="1" max="3" width="9" style="1"/>
    <col min="4" max="4" width="13.125" style="1" customWidth="1"/>
    <col min="5" max="6" width="9" style="1"/>
    <col min="7" max="7" width="15.5" style="1" customWidth="1"/>
    <col min="8" max="8" width="12.75" style="1" customWidth="1"/>
    <col min="9" max="16384" width="9" style="1"/>
  </cols>
  <sheetData>
    <row r="1" spans="1:10" ht="22.5" x14ac:dyDescent="0.15">
      <c r="A1" s="42" t="s">
        <v>0</v>
      </c>
      <c r="B1" s="43"/>
      <c r="C1" s="43"/>
      <c r="D1" s="43"/>
      <c r="E1" s="43"/>
      <c r="F1" s="43"/>
      <c r="G1" s="43"/>
      <c r="H1" s="43"/>
      <c r="I1" s="2"/>
      <c r="J1" s="2"/>
    </row>
    <row r="2" spans="1:10" ht="14.25" x14ac:dyDescent="0.15">
      <c r="A2" s="3" t="s">
        <v>1</v>
      </c>
      <c r="B2" s="75" t="s">
        <v>99</v>
      </c>
      <c r="C2" s="75"/>
      <c r="D2" s="76" t="s">
        <v>3</v>
      </c>
      <c r="E2" s="76"/>
      <c r="F2" s="77"/>
      <c r="G2" s="77"/>
      <c r="H2" s="77"/>
      <c r="I2" s="2"/>
      <c r="J2" s="2"/>
    </row>
    <row r="3" spans="1:10" ht="27" x14ac:dyDescent="0.15">
      <c r="A3" s="78" t="s">
        <v>4</v>
      </c>
      <c r="B3" s="78"/>
      <c r="C3" s="78"/>
      <c r="D3" s="4" t="s">
        <v>5</v>
      </c>
      <c r="E3" s="5" t="s">
        <v>6</v>
      </c>
      <c r="F3" s="4" t="s">
        <v>7</v>
      </c>
      <c r="G3" s="4" t="s">
        <v>8</v>
      </c>
      <c r="H3" s="4" t="s">
        <v>9</v>
      </c>
      <c r="I3" s="2"/>
      <c r="J3" s="2"/>
    </row>
    <row r="4" spans="1:10" ht="14.25" x14ac:dyDescent="0.15">
      <c r="A4" s="79" t="s">
        <v>10</v>
      </c>
      <c r="B4" s="79"/>
      <c r="C4" s="79"/>
      <c r="D4" s="7">
        <v>4656.84</v>
      </c>
      <c r="E4" s="8"/>
      <c r="F4" s="9">
        <v>15.98</v>
      </c>
      <c r="G4" s="10">
        <f>D4*F4/100</f>
        <v>744.16303200000004</v>
      </c>
      <c r="H4" s="10">
        <f>F4</f>
        <v>15.98</v>
      </c>
      <c r="I4" s="2"/>
      <c r="J4" s="2"/>
    </row>
    <row r="5" spans="1:10" ht="14.25" x14ac:dyDescent="0.15">
      <c r="A5" s="79" t="s">
        <v>16</v>
      </c>
      <c r="B5" s="86" t="s">
        <v>17</v>
      </c>
      <c r="C5" s="11" t="s">
        <v>18</v>
      </c>
      <c r="D5" s="7">
        <v>652</v>
      </c>
      <c r="E5" s="8"/>
      <c r="F5" s="8">
        <v>99.8</v>
      </c>
      <c r="G5" s="12">
        <f>F5*D5/100</f>
        <v>650.69600000000003</v>
      </c>
      <c r="H5" s="10"/>
      <c r="I5" s="2"/>
      <c r="J5" s="2"/>
    </row>
    <row r="6" spans="1:10" ht="28.5" x14ac:dyDescent="0.15">
      <c r="A6" s="79"/>
      <c r="B6" s="87"/>
      <c r="C6" s="11" t="s">
        <v>21</v>
      </c>
      <c r="D6" s="7">
        <v>652</v>
      </c>
      <c r="E6" s="8"/>
      <c r="F6" s="8">
        <v>99.8</v>
      </c>
      <c r="G6" s="12">
        <f>F6*D6/100</f>
        <v>650.69600000000003</v>
      </c>
      <c r="H6" s="10"/>
      <c r="I6" s="2"/>
      <c r="J6" s="2"/>
    </row>
    <row r="7" spans="1:10" ht="14.25" x14ac:dyDescent="0.15">
      <c r="A7" s="79"/>
      <c r="B7" s="87"/>
      <c r="C7" s="13" t="s">
        <v>24</v>
      </c>
      <c r="D7" s="8"/>
      <c r="E7" s="8"/>
      <c r="F7" s="8"/>
      <c r="G7" s="12"/>
      <c r="H7" s="10"/>
      <c r="I7" s="2"/>
      <c r="J7" s="2"/>
    </row>
    <row r="8" spans="1:10" ht="14.25" x14ac:dyDescent="0.15">
      <c r="A8" s="79"/>
      <c r="B8" s="87"/>
      <c r="C8" s="13" t="s">
        <v>27</v>
      </c>
      <c r="D8" s="8"/>
      <c r="E8" s="8"/>
      <c r="F8" s="8"/>
      <c r="G8" s="12"/>
      <c r="H8" s="10"/>
      <c r="I8" s="2"/>
      <c r="J8" s="2"/>
    </row>
    <row r="9" spans="1:10" ht="14.25" x14ac:dyDescent="0.15">
      <c r="A9" s="79"/>
      <c r="B9" s="87"/>
      <c r="C9" s="13" t="s">
        <v>30</v>
      </c>
      <c r="D9" s="8"/>
      <c r="E9" s="8"/>
      <c r="F9" s="8"/>
      <c r="G9" s="12"/>
      <c r="H9" s="10"/>
      <c r="I9" s="2"/>
      <c r="J9" s="2"/>
    </row>
    <row r="10" spans="1:10" ht="14.25" x14ac:dyDescent="0.15">
      <c r="A10" s="79"/>
      <c r="B10" s="92"/>
      <c r="C10" s="13"/>
      <c r="D10" s="8"/>
      <c r="E10" s="8"/>
      <c r="F10" s="8"/>
      <c r="G10" s="12"/>
      <c r="H10" s="10"/>
      <c r="I10" s="2"/>
      <c r="J10" s="2"/>
    </row>
    <row r="11" spans="1:10" ht="14.25" x14ac:dyDescent="0.15">
      <c r="A11" s="79"/>
      <c r="B11" s="79" t="s">
        <v>33</v>
      </c>
      <c r="C11" s="14" t="s">
        <v>34</v>
      </c>
      <c r="D11" s="15"/>
      <c r="E11" s="8"/>
      <c r="F11" s="8"/>
      <c r="G11" s="12"/>
      <c r="H11" s="10"/>
      <c r="I11" s="2"/>
      <c r="J11" s="2"/>
    </row>
    <row r="12" spans="1:10" ht="14.25" x14ac:dyDescent="0.15">
      <c r="A12" s="79"/>
      <c r="B12" s="79"/>
      <c r="C12" s="14" t="s">
        <v>36</v>
      </c>
      <c r="D12" s="16"/>
      <c r="E12" s="8"/>
      <c r="F12" s="8"/>
      <c r="G12" s="12"/>
      <c r="H12" s="10"/>
      <c r="I12" s="2"/>
      <c r="J12" s="2"/>
    </row>
    <row r="13" spans="1:10" ht="14.25" x14ac:dyDescent="0.15">
      <c r="A13" s="79"/>
      <c r="B13" s="79" t="s">
        <v>38</v>
      </c>
      <c r="C13" s="79"/>
      <c r="D13" s="16">
        <f>D5+D11-D12</f>
        <v>652</v>
      </c>
      <c r="E13" s="12">
        <f>D13/D4*100</f>
        <v>14.0009104886575</v>
      </c>
      <c r="F13" s="8"/>
      <c r="G13" s="10">
        <f>G5+G11-G12</f>
        <v>650.69600000000003</v>
      </c>
      <c r="H13" s="10">
        <f>G13/D4*100</f>
        <v>13.972908667680199</v>
      </c>
      <c r="I13" s="2"/>
      <c r="J13" s="2"/>
    </row>
    <row r="14" spans="1:10" ht="14.25" x14ac:dyDescent="0.15">
      <c r="A14" s="79" t="s">
        <v>43</v>
      </c>
      <c r="B14" s="79" t="s">
        <v>44</v>
      </c>
      <c r="C14" s="6" t="s">
        <v>45</v>
      </c>
      <c r="D14" s="9">
        <v>105</v>
      </c>
      <c r="E14" s="16"/>
      <c r="F14" s="8"/>
      <c r="G14" s="10"/>
      <c r="H14" s="10"/>
      <c r="I14" s="2"/>
      <c r="J14" s="2"/>
    </row>
    <row r="15" spans="1:10" ht="14.25" x14ac:dyDescent="0.15">
      <c r="A15" s="79"/>
      <c r="B15" s="79"/>
      <c r="C15" s="6" t="s">
        <v>47</v>
      </c>
      <c r="D15" s="16">
        <v>0</v>
      </c>
      <c r="E15" s="16"/>
      <c r="F15" s="8"/>
      <c r="G15" s="10"/>
      <c r="H15" s="10"/>
      <c r="I15" s="2"/>
      <c r="J15" s="2"/>
    </row>
    <row r="16" spans="1:10" ht="14.25" x14ac:dyDescent="0.15">
      <c r="A16" s="79"/>
      <c r="B16" s="79" t="s">
        <v>48</v>
      </c>
      <c r="C16" s="79"/>
      <c r="D16" s="8">
        <v>0</v>
      </c>
      <c r="E16" s="8"/>
      <c r="F16" s="8"/>
      <c r="G16" s="10"/>
      <c r="H16" s="10"/>
      <c r="I16" s="2"/>
      <c r="J16" s="2"/>
    </row>
    <row r="17" spans="1:10" ht="14.25" x14ac:dyDescent="0.15">
      <c r="A17" s="79"/>
      <c r="B17" s="79" t="s">
        <v>38</v>
      </c>
      <c r="C17" s="79"/>
      <c r="D17" s="16">
        <f>D14+D15-D16</f>
        <v>105</v>
      </c>
      <c r="E17" s="10"/>
      <c r="F17" s="17">
        <v>46.55</v>
      </c>
      <c r="G17" s="18">
        <f>D17*F17/100</f>
        <v>48.877499999999998</v>
      </c>
      <c r="H17" s="10">
        <f>G17/D4*100</f>
        <v>1.04958512639472</v>
      </c>
      <c r="I17" s="2"/>
      <c r="J17" s="2"/>
    </row>
    <row r="18" spans="1:10" ht="14.25" x14ac:dyDescent="0.15">
      <c r="A18" s="86" t="s">
        <v>52</v>
      </c>
      <c r="B18" s="79" t="s">
        <v>53</v>
      </c>
      <c r="C18" s="79"/>
      <c r="D18" s="8"/>
      <c r="E18" s="10"/>
      <c r="F18" s="10"/>
      <c r="G18" s="19">
        <f>H18*D4/100</f>
        <v>13.504835999999999</v>
      </c>
      <c r="H18" s="20">
        <v>0.28999999999999998</v>
      </c>
      <c r="I18" s="21" t="s">
        <v>100</v>
      </c>
      <c r="J18" s="22">
        <v>1.39</v>
      </c>
    </row>
    <row r="19" spans="1:10" ht="14.25" x14ac:dyDescent="0.15">
      <c r="A19" s="87"/>
      <c r="B19" s="79" t="s">
        <v>56</v>
      </c>
      <c r="C19" s="79"/>
      <c r="D19" s="8"/>
      <c r="E19" s="10"/>
      <c r="F19" s="10"/>
      <c r="G19" s="19">
        <f>H19*D4/100</f>
        <v>3.7254719999999999</v>
      </c>
      <c r="H19" s="10">
        <v>0.08</v>
      </c>
      <c r="I19" s="21" t="s">
        <v>101</v>
      </c>
      <c r="J19" s="23">
        <v>0.435</v>
      </c>
    </row>
    <row r="20" spans="1:10" ht="14.25" x14ac:dyDescent="0.15">
      <c r="A20" s="87"/>
      <c r="B20" s="79" t="s">
        <v>59</v>
      </c>
      <c r="C20" s="79"/>
      <c r="D20" s="8"/>
      <c r="E20" s="10"/>
      <c r="F20" s="10"/>
      <c r="G20" s="10">
        <f>H20*D4/100</f>
        <v>48.896819999999998</v>
      </c>
      <c r="H20" s="10">
        <v>1.05</v>
      </c>
      <c r="I20" s="2"/>
      <c r="J20" s="2"/>
    </row>
    <row r="21" spans="1:10" ht="14.25" x14ac:dyDescent="0.15">
      <c r="A21" s="87"/>
      <c r="B21" s="79" t="s">
        <v>62</v>
      </c>
      <c r="C21" s="79"/>
      <c r="D21" s="8"/>
      <c r="E21" s="10"/>
      <c r="F21" s="10"/>
      <c r="G21" s="10">
        <f>H21*D4/100</f>
        <v>13.97052</v>
      </c>
      <c r="H21" s="10">
        <v>0.3</v>
      </c>
      <c r="I21" s="2"/>
      <c r="J21" s="2"/>
    </row>
    <row r="22" spans="1:10" ht="14.25" x14ac:dyDescent="0.15">
      <c r="A22" s="87"/>
      <c r="B22" s="79" t="s">
        <v>64</v>
      </c>
      <c r="C22" s="79"/>
      <c r="D22" s="8"/>
      <c r="E22" s="10"/>
      <c r="F22" s="10"/>
      <c r="G22" s="10">
        <f>SUM(G18:G21)</f>
        <v>80.097648000000007</v>
      </c>
      <c r="H22" s="10">
        <f>SUM(H18:H21)</f>
        <v>1.72</v>
      </c>
      <c r="I22" s="2"/>
      <c r="J22" s="2"/>
    </row>
    <row r="23" spans="1:10" ht="14.25" x14ac:dyDescent="0.15">
      <c r="A23" s="87"/>
      <c r="B23" s="51" t="s">
        <v>67</v>
      </c>
      <c r="C23" s="53"/>
      <c r="D23" s="51">
        <f>H4-E13</f>
        <v>1.97908951134246</v>
      </c>
      <c r="E23" s="52"/>
      <c r="F23" s="52"/>
      <c r="G23" s="52"/>
      <c r="H23" s="53"/>
      <c r="I23" s="2"/>
      <c r="J23" s="2"/>
    </row>
    <row r="24" spans="1:10" ht="14.25" x14ac:dyDescent="0.15">
      <c r="A24" s="86" t="s">
        <v>69</v>
      </c>
      <c r="B24" s="51" t="s">
        <v>70</v>
      </c>
      <c r="C24" s="53"/>
      <c r="D24" s="51">
        <f>H4-H22</f>
        <v>14.26</v>
      </c>
      <c r="E24" s="52"/>
      <c r="F24" s="52"/>
      <c r="G24" s="52"/>
      <c r="H24" s="53"/>
      <c r="I24" s="2"/>
      <c r="J24" s="2"/>
    </row>
    <row r="25" spans="1:10" ht="14.25" x14ac:dyDescent="0.15">
      <c r="A25" s="88"/>
      <c r="B25" s="80" t="s">
        <v>72</v>
      </c>
      <c r="C25" s="81"/>
      <c r="D25" s="54">
        <f>E13</f>
        <v>14.0009104886575</v>
      </c>
      <c r="E25" s="55"/>
      <c r="F25" s="55"/>
      <c r="G25" s="55"/>
      <c r="H25" s="56"/>
      <c r="I25" s="2"/>
      <c r="J25" s="2"/>
    </row>
    <row r="26" spans="1:10" ht="14.25" x14ac:dyDescent="0.15">
      <c r="A26" s="88"/>
      <c r="B26" s="80" t="s">
        <v>74</v>
      </c>
      <c r="C26" s="81"/>
      <c r="D26" s="54">
        <f>D25-D24</f>
        <v>-0.259089511342456</v>
      </c>
      <c r="E26" s="55"/>
      <c r="F26" s="55"/>
      <c r="G26" s="55"/>
      <c r="H26" s="56"/>
      <c r="I26" s="2"/>
      <c r="J26" s="2"/>
    </row>
    <row r="27" spans="1:10" ht="14.25" x14ac:dyDescent="0.15">
      <c r="A27" s="89"/>
      <c r="B27" s="80" t="s">
        <v>76</v>
      </c>
      <c r="C27" s="81"/>
      <c r="D27" s="54">
        <f>D26*D4/100</f>
        <v>-12.065384</v>
      </c>
      <c r="E27" s="55"/>
      <c r="F27" s="55"/>
      <c r="G27" s="55"/>
      <c r="H27" s="56"/>
      <c r="I27" s="2"/>
      <c r="J27" s="2"/>
    </row>
    <row r="28" spans="1:10" ht="14.25" x14ac:dyDescent="0.15">
      <c r="A28" s="82" t="s">
        <v>78</v>
      </c>
      <c r="B28" s="82"/>
      <c r="C28" s="82"/>
      <c r="D28" s="54">
        <f>G13+G22-G4</f>
        <v>-13.369384</v>
      </c>
      <c r="E28" s="55"/>
      <c r="F28" s="55"/>
      <c r="G28" s="55"/>
      <c r="H28" s="56"/>
      <c r="I28" s="2"/>
      <c r="J28" s="2"/>
    </row>
    <row r="29" spans="1:10" ht="14.25" x14ac:dyDescent="0.15">
      <c r="A29" s="90" t="s">
        <v>80</v>
      </c>
      <c r="B29" s="91" t="s">
        <v>44</v>
      </c>
      <c r="C29" s="25" t="s">
        <v>45</v>
      </c>
      <c r="D29" s="16"/>
      <c r="E29" s="10">
        <f>D29/D4*100</f>
        <v>0</v>
      </c>
      <c r="F29" s="10"/>
      <c r="G29" s="10"/>
      <c r="H29" s="10"/>
      <c r="I29" s="2"/>
      <c r="J29" s="2"/>
    </row>
    <row r="30" spans="1:10" ht="14.25" x14ac:dyDescent="0.15">
      <c r="A30" s="91"/>
      <c r="B30" s="82"/>
      <c r="C30" s="24" t="s">
        <v>47</v>
      </c>
      <c r="D30" s="16">
        <f>D15</f>
        <v>0</v>
      </c>
      <c r="E30" s="10"/>
      <c r="F30" s="10"/>
      <c r="G30" s="10"/>
      <c r="H30" s="10"/>
      <c r="I30" s="2"/>
      <c r="J30" s="2" t="s">
        <v>102</v>
      </c>
    </row>
    <row r="31" spans="1:10" ht="14.25" x14ac:dyDescent="0.15">
      <c r="A31" s="79" t="s">
        <v>83</v>
      </c>
      <c r="B31" s="79"/>
      <c r="C31" s="79"/>
      <c r="D31" s="8"/>
      <c r="E31" s="66" t="s">
        <v>84</v>
      </c>
      <c r="F31" s="67"/>
      <c r="G31" s="67"/>
      <c r="H31" s="68"/>
      <c r="I31" s="2"/>
      <c r="J31" s="2"/>
    </row>
    <row r="32" spans="1:10" ht="14.25" x14ac:dyDescent="0.15">
      <c r="A32" s="79" t="s">
        <v>85</v>
      </c>
      <c r="B32" s="79"/>
      <c r="C32" s="79"/>
      <c r="D32" s="10">
        <f>H13</f>
        <v>13.972908667680199</v>
      </c>
      <c r="E32" s="69"/>
      <c r="F32" s="70"/>
      <c r="G32" s="70"/>
      <c r="H32" s="71"/>
      <c r="I32" s="2"/>
      <c r="J32" s="2"/>
    </row>
    <row r="33" spans="1:10" ht="14.25" x14ac:dyDescent="0.15">
      <c r="A33" s="79" t="s">
        <v>87</v>
      </c>
      <c r="B33" s="79"/>
      <c r="C33" s="79"/>
      <c r="D33" s="12">
        <f>E13</f>
        <v>14.0009104886575</v>
      </c>
      <c r="E33" s="69"/>
      <c r="F33" s="70"/>
      <c r="G33" s="70"/>
      <c r="H33" s="71"/>
      <c r="I33" s="2"/>
      <c r="J33" s="2"/>
    </row>
    <row r="34" spans="1:10" ht="14.25" x14ac:dyDescent="0.15">
      <c r="A34" s="79" t="s">
        <v>89</v>
      </c>
      <c r="B34" s="79"/>
      <c r="C34" s="79"/>
      <c r="D34" s="12">
        <f>G13/G4*100</f>
        <v>87.439979146935102</v>
      </c>
      <c r="E34" s="69"/>
      <c r="F34" s="70"/>
      <c r="G34" s="70"/>
      <c r="H34" s="71"/>
      <c r="I34" s="2"/>
      <c r="J34" s="2"/>
    </row>
    <row r="35" spans="1:10" ht="14.25" x14ac:dyDescent="0.15">
      <c r="A35" s="79" t="s">
        <v>91</v>
      </c>
      <c r="B35" s="79"/>
      <c r="C35" s="79"/>
      <c r="D35" s="9">
        <v>59.64</v>
      </c>
      <c r="E35" s="69"/>
      <c r="F35" s="70"/>
      <c r="G35" s="70"/>
      <c r="H35" s="71"/>
      <c r="I35" s="2"/>
      <c r="J35" s="2"/>
    </row>
    <row r="36" spans="1:10" ht="14.25" x14ac:dyDescent="0.15">
      <c r="A36" s="83" t="s">
        <v>92</v>
      </c>
      <c r="B36" s="84"/>
      <c r="C36" s="85"/>
      <c r="D36" s="10">
        <f>D4/D37</f>
        <v>4656.84</v>
      </c>
      <c r="E36" s="69"/>
      <c r="F36" s="70"/>
      <c r="G36" s="70"/>
      <c r="H36" s="71"/>
      <c r="I36" s="2"/>
      <c r="J36" s="2"/>
    </row>
    <row r="37" spans="1:10" ht="14.25" x14ac:dyDescent="0.15">
      <c r="A37" s="83" t="s">
        <v>94</v>
      </c>
      <c r="B37" s="84"/>
      <c r="C37" s="85"/>
      <c r="D37" s="8">
        <v>1</v>
      </c>
      <c r="E37" s="69"/>
      <c r="F37" s="70"/>
      <c r="G37" s="70"/>
      <c r="H37" s="71"/>
      <c r="I37" s="2"/>
      <c r="J37" s="2"/>
    </row>
    <row r="38" spans="1:10" ht="14.25" x14ac:dyDescent="0.15">
      <c r="A38" s="79" t="s">
        <v>95</v>
      </c>
      <c r="B38" s="79"/>
      <c r="C38" s="79"/>
      <c r="D38" s="16">
        <f>D6/D5*100</f>
        <v>100</v>
      </c>
      <c r="E38" s="69"/>
      <c r="F38" s="70"/>
      <c r="G38" s="70"/>
      <c r="H38" s="71"/>
      <c r="I38" s="2"/>
      <c r="J38" s="2"/>
    </row>
    <row r="39" spans="1:10" ht="14.25" x14ac:dyDescent="0.15">
      <c r="A39" s="79" t="s">
        <v>97</v>
      </c>
      <c r="B39" s="79"/>
      <c r="C39" s="79"/>
      <c r="D39" s="26" t="s">
        <v>103</v>
      </c>
      <c r="E39" s="72"/>
      <c r="F39" s="73"/>
      <c r="G39" s="73"/>
      <c r="H39" s="74"/>
      <c r="I39" s="2"/>
      <c r="J39" s="2"/>
    </row>
    <row r="40" spans="1:10" ht="14.25" x14ac:dyDescent="0.15">
      <c r="A40" s="58" t="s">
        <v>98</v>
      </c>
      <c r="B40" s="58"/>
      <c r="C40" s="58"/>
      <c r="D40" s="58"/>
      <c r="E40" s="58"/>
      <c r="F40" s="58"/>
      <c r="G40" s="58"/>
      <c r="H40" s="58"/>
      <c r="I40" s="2"/>
      <c r="J40" s="2"/>
    </row>
  </sheetData>
  <mergeCells count="45">
    <mergeCell ref="A37:C37"/>
    <mergeCell ref="A38:C38"/>
    <mergeCell ref="A39:C39"/>
    <mergeCell ref="A40:H40"/>
    <mergeCell ref="A5:A13"/>
    <mergeCell ref="A14:A17"/>
    <mergeCell ref="A18:A23"/>
    <mergeCell ref="A24:A27"/>
    <mergeCell ref="A29:A30"/>
    <mergeCell ref="B5:B10"/>
    <mergeCell ref="B11:B12"/>
    <mergeCell ref="B14:B15"/>
    <mergeCell ref="B29:B30"/>
    <mergeCell ref="E31:H39"/>
    <mergeCell ref="A32:C32"/>
    <mergeCell ref="A33:C33"/>
    <mergeCell ref="A34:C34"/>
    <mergeCell ref="A35:C35"/>
    <mergeCell ref="A36:C36"/>
    <mergeCell ref="B27:C27"/>
    <mergeCell ref="D27:H27"/>
    <mergeCell ref="A28:C28"/>
    <mergeCell ref="D28:H28"/>
    <mergeCell ref="A31:C31"/>
    <mergeCell ref="B24:C24"/>
    <mergeCell ref="D24:H24"/>
    <mergeCell ref="B25:C25"/>
    <mergeCell ref="D25:H25"/>
    <mergeCell ref="B26:C26"/>
    <mergeCell ref="D26:H26"/>
    <mergeCell ref="B20:C20"/>
    <mergeCell ref="B21:C21"/>
    <mergeCell ref="B22:C22"/>
    <mergeCell ref="B23:C23"/>
    <mergeCell ref="D23:H23"/>
    <mergeCell ref="B13:C13"/>
    <mergeCell ref="B16:C16"/>
    <mergeCell ref="B17:C17"/>
    <mergeCell ref="B18:C18"/>
    <mergeCell ref="B19:C19"/>
    <mergeCell ref="A1:H1"/>
    <mergeCell ref="B2:C2"/>
    <mergeCell ref="D2:H2"/>
    <mergeCell ref="A3:C3"/>
    <mergeCell ref="A4:C4"/>
  </mergeCells>
  <phoneticPr fontId="11" type="noConversion"/>
  <pageMargins left="0.75" right="0.75" top="1" bottom="1" header="0.5" footer="0.5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原文件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miaomiao</dc:creator>
  <cp:lastModifiedBy>1501</cp:lastModifiedBy>
  <dcterms:created xsi:type="dcterms:W3CDTF">2025-11-09T13:12:00Z</dcterms:created>
  <dcterms:modified xsi:type="dcterms:W3CDTF">2025-11-25T05:13:34Z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172B39CB9850B6F3CB7F0D69228696D5_41</vt:lpwstr>
  </property>
  <property fmtid="{D5CDD505-2E9C-101B-9397-08002B2CF9AE}" pid="3" name="KSOProductBuildVer">
    <vt:lpwstr>2052-12.1.23540.23540</vt:lpwstr>
  </property>
</Properties>
</file>